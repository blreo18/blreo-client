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inkAngel\Downloads\"/>
    </mc:Choice>
  </mc:AlternateContent>
  <xr:revisionPtr revIDLastSave="0" documentId="13_ncr:1_{B1D75004-9524-4CCB-8683-A72A87380DC0}" xr6:coauthVersionLast="47" xr6:coauthVersionMax="47" xr10:uidLastSave="{00000000-0000-0000-0000-000000000000}"/>
  <bookViews>
    <workbookView xWindow="-110" yWindow="-110" windowWidth="38620" windowHeight="21100" tabRatio="896" activeTab="17" xr2:uid="{8B8A3020-EE73-4158-AC2B-AB3BC10028C8}"/>
  </bookViews>
  <sheets>
    <sheet name="대문" sheetId="22" r:id="rId1"/>
    <sheet name="강화" sheetId="1" r:id="rId2"/>
    <sheet name="펫" sheetId="23" r:id="rId3"/>
    <sheet name="몹경험치" sheetId="14" r:id="rId4"/>
    <sheet name="방어구" sheetId="3" r:id="rId5"/>
    <sheet name="무기" sheetId="4" r:id="rId6"/>
    <sheet name="세트" sheetId="5" r:id="rId7"/>
    <sheet name="보석" sheetId="6" r:id="rId8"/>
    <sheet name="장신구" sheetId="7" r:id="rId9"/>
    <sheet name="광석" sheetId="8" r:id="rId10"/>
    <sheet name="이벤트" sheetId="9" r:id="rId11"/>
    <sheet name="불" sheetId="2" r:id="rId12"/>
    <sheet name="공기" sheetId="10" r:id="rId13"/>
    <sheet name="땅" sheetId="11" r:id="rId14"/>
    <sheet name="물" sheetId="12" r:id="rId15"/>
    <sheet name="힘" sheetId="13" r:id="rId16"/>
    <sheet name="기술서드랍" sheetId="24" r:id="rId17"/>
    <sheet name="하엘공방재료" sheetId="28" r:id="rId18"/>
    <sheet name="상인스킬습득조건" sheetId="27" r:id="rId19"/>
    <sheet name="소켓공식" sheetId="15" r:id="rId20"/>
    <sheet name="기본공식" sheetId="16" r:id="rId21"/>
    <sheet name="세공기술" sheetId="17" r:id="rId22"/>
    <sheet name="화공기술" sheetId="18" r:id="rId23"/>
    <sheet name="판금기술" sheetId="19" r:id="rId24"/>
    <sheet name="제본기술" sheetId="20" r:id="rId25"/>
    <sheet name="제련기술" sheetId="21" r:id="rId26"/>
    <sheet name="스텟계산기" sheetId="26" r:id="rId27"/>
    <sheet name="Sheet1" sheetId="25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26" l="1"/>
  <c r="Q17" i="26"/>
  <c r="Q18" i="26" s="1"/>
  <c r="N16" i="26"/>
  <c r="Q15" i="26"/>
  <c r="Q14" i="26"/>
  <c r="Q13" i="26"/>
  <c r="Q12" i="26"/>
  <c r="Q11" i="26"/>
  <c r="Q32" i="26" s="1"/>
  <c r="Q10" i="26"/>
  <c r="Q33" i="26" s="1"/>
  <c r="Q29" i="26" l="1"/>
  <c r="K31" i="26"/>
  <c r="Q31" i="26"/>
  <c r="K32" i="26"/>
  <c r="K27" i="26"/>
  <c r="N33" i="26"/>
  <c r="Q27" i="26"/>
  <c r="K28" i="26"/>
  <c r="N28" i="26"/>
  <c r="K29" i="26"/>
  <c r="N29" i="26"/>
  <c r="N31" i="26"/>
  <c r="N32" i="26"/>
  <c r="K33" i="26"/>
  <c r="N27" i="26"/>
</calcChain>
</file>

<file path=xl/sharedStrings.xml><?xml version="1.0" encoding="utf-8"?>
<sst xmlns="http://schemas.openxmlformats.org/spreadsheetml/2006/main" count="3181" uniqueCount="2399">
  <si>
    <t>축비 , 어비스 강화</t>
  </si>
  <si>
    <t>0~1강 100%</t>
  </si>
  <si>
    <t>1~2강 100%</t>
  </si>
  <si>
    <t xml:space="preserve">2~3강 100% </t>
  </si>
  <si>
    <t>3~4강 80%</t>
  </si>
  <si>
    <t xml:space="preserve">4~5강 80% </t>
  </si>
  <si>
    <t>5~6강 60%</t>
  </si>
  <si>
    <t>6~7강 60%</t>
  </si>
  <si>
    <t>7~8강 40%</t>
  </si>
  <si>
    <t>8~9강 40%</t>
  </si>
  <si>
    <t xml:space="preserve">9~10강 20% </t>
  </si>
  <si>
    <t xml:space="preserve">10~11강 20% </t>
  </si>
  <si>
    <t xml:space="preserve">11~12강 10% </t>
  </si>
  <si>
    <t>12~13강 10%</t>
  </si>
  <si>
    <t xml:space="preserve">13~14강 5% </t>
  </si>
  <si>
    <t>14~15강 1%</t>
  </si>
  <si>
    <t>어비스 축비 상관X 축비는 실패시 터질확률10프로</t>
  </si>
  <si>
    <t>축비로 강화시</t>
  </si>
  <si>
    <t>60퍼 확률로 1단계 하락</t>
  </si>
  <si>
    <t>25퍼 확률로 장비 2단계 하락</t>
  </si>
  <si>
    <t>10퍼 확률로 장비 파괴</t>
  </si>
  <si>
    <t>5퍼 확률로 장비하락 하지않고 그대로 실패</t>
  </si>
  <si>
    <t>걍 어비스로 강화시</t>
  </si>
  <si>
    <t>60퍼 확률로 장비 삭제</t>
  </si>
  <si>
    <t>25퍼 확률로 2단계 하락</t>
  </si>
  <si>
    <t>10퍼 확률로 1단계 하락</t>
  </si>
  <si>
    <t>축비로 강화시 10프로확률로 대성공</t>
  </si>
  <si>
    <t>♣불의 계열 마법♣</t>
  </si>
  <si>
    <t>●요구사항        ◆필요물품       ★효과</t>
  </si>
  <si>
    <t>▨▨ 썬더 스웜(Thunder Swarm) ▨▨ -(지역마법)</t>
  </si>
  <si>
    <t xml:space="preserve">적의 머리위에 낙뢰(落雷.Thunder)를 떨어뜨려 데미지를주는 마법입니다.  </t>
  </si>
  <si>
    <t>▨▨ 메테오 스웜(Meteor Swarm) ▨▨ -(지역마법)</t>
  </si>
  <si>
    <t xml:space="preserve">적에게 강력한 데미지를 동시에 줄 수 있는 마법으로 강력한 유성형태를 </t>
  </si>
  <si>
    <t>떨어뜨려 치명적인 데미지를 가합니다.</t>
  </si>
  <si>
    <t>▨▨ 플레임 어로우(Flame Arrow) ▨▨ -(지역마법)</t>
  </si>
  <si>
    <t xml:space="preserve">▨▨ 파이어 월(FireWall) ▨▨ </t>
  </si>
  <si>
    <t>캐릭을 태우는 불꽃들이 올라가며 일정시간 데미지를 준다. 캐릭에서 불</t>
  </si>
  <si>
    <t>이 일정시간동안 타고 있는 형태를 띱니다.</t>
  </si>
  <si>
    <t>&lt;A HREF="magicskill.bhelp","***돌아가기***"&gt;</t>
  </si>
  <si>
    <t>◆◆◆◆◆ 인간족 방어구 아이템 ◆◆◆◆◆</t>
  </si>
  <si>
    <t xml:space="preserve">▶ 착용조건 / ♥:착용후 </t>
  </si>
  <si>
    <t xml:space="preserve">가죽 갑옷                            ♥Armor: 50 </t>
  </si>
  <si>
    <t xml:space="preserve">파린의 옷                            ♥Armor: 75 </t>
  </si>
  <si>
    <t xml:space="preserve">전설의 도복                          ♥Armor: 150 </t>
  </si>
  <si>
    <t xml:space="preserve">용문양 갑옷     ▶ Lev:10 Str:20     ♥Armor: 100 </t>
  </si>
  <si>
    <t>단단한 코퍼갑옷 ▶ Lev:20 Str:105    ♥Str:3, Armor: 150</t>
  </si>
  <si>
    <t xml:space="preserve">밴디드 메일     ▶ Lev:31 Str:170 Con:5 ♥Str:5, Con:2, Armor: 190 </t>
  </si>
  <si>
    <t xml:space="preserve">체인 메일  ▶ Lev:40 Str:230 Con:7   ♥Str:7, Con:3, Armor: 260 </t>
  </si>
  <si>
    <t xml:space="preserve">강철 갑옷  ▶ Lev:45 Str:265 Con:10  ♥Str:7, Con:3, Armor: 320 </t>
  </si>
  <si>
    <t xml:space="preserve">스케일 아머▶ Lev:50 Str:290 Con:15  ♥Str:10, Con:4, Armor: 380 </t>
  </si>
  <si>
    <t xml:space="preserve">여자 컴포지트 메일 ▶ Lev:55 Str:320 Con:15♥Str:13, Con:5, Armor: 435 </t>
  </si>
  <si>
    <t xml:space="preserve">플레이트 메일 ▶ Lev:60 Str:340 Con:20♥Str:15, Con:7, Armor: 480 </t>
  </si>
  <si>
    <t xml:space="preserve">펠스타 갑옷-소울셋 ▶ Lev:72 Str:460 Con:25♥Str:20, Con:10, Armor:540 </t>
  </si>
  <si>
    <t xml:space="preserve">여자 쇠미늘 갑옷 ▶ Lev:75 Str:405 Con:25 ♥Str:25, Armor: 605 </t>
  </si>
  <si>
    <t xml:space="preserve">상인복 - 요정의 씨앗 ▶ Cha:260      ♥Wis:15, Cha:18, Armor: 380 </t>
  </si>
  <si>
    <t xml:space="preserve">초기 로브   ▶ Lev:19 Int:140      ♥Int:2, Life:200, Armor:50 </t>
  </si>
  <si>
    <t xml:space="preserve">그레이 로브 ▶ Lev:30 Int:180      ♥Int:2. Wis:2, Life:600, Armor:90 </t>
  </si>
  <si>
    <t xml:space="preserve">헤진 쇠미늘 로브 ▶ Lev:38 int:230 wis:15 </t>
  </si>
  <si>
    <t xml:space="preserve">                                   ♥Int:3, Wis:3, Life:950, Armor:130 </t>
  </si>
  <si>
    <t xml:space="preserve">쇠미늘 로브 ▶Lev:45 int:250 wis:25♥Int:5, Wis:5, Life:1200 ,Armor:180 </t>
  </si>
  <si>
    <t xml:space="preserve">은빛 로브   ▶Lev:50 int:280 Wis:35♥Int:7, Wis:5, Life:1450 ,Armor:230 </t>
  </si>
  <si>
    <t xml:space="preserve">마이트 로브 ▶Lev:55 Int:310 Wis:40♥Int:8, Wis:10, Life:1780 ,Armor:280 </t>
  </si>
  <si>
    <t xml:space="preserve">비쥬로브 - 크리샤오르셋 ▶ Lev:65 Int:350 Wis:60 Man:77 </t>
  </si>
  <si>
    <t xml:space="preserve">                                 ♥Int:10, Wis:15, Life:2100 ,Armor:340 </t>
  </si>
  <si>
    <t>대법사의 로브 ▶ Int:370 Wis:85 Man: 85</t>
  </si>
  <si>
    <t xml:space="preserve">                                 ♥Int:13, Wis:20, Life:2400 ,Armor:420 </t>
  </si>
  <si>
    <t>백색의 로브 ▶Lev 110 Int 726    ♥Mana 1000 Armor 650</t>
  </si>
  <si>
    <t xml:space="preserve">상인모-요정의 씨앗 ▶ wis:20 Cha:250 ♥Wis:10, Cha:10 ,Armor: 100 </t>
  </si>
  <si>
    <t xml:space="preserve">모조 소가죽투구                      ♥Armor: 5 </t>
  </si>
  <si>
    <t xml:space="preserve">낡은 소가죽투구 ▶ Lev:15            ♥Armor: 10 </t>
  </si>
  <si>
    <t xml:space="preserve">소가죽투구      ▶ Lev:20            ♥Armor: 20 </t>
  </si>
  <si>
    <t xml:space="preserve">질긴 소가죽투구 ▶ Lev:25            ♥Armor: 50 </t>
  </si>
  <si>
    <t xml:space="preserve">베이직 매직햇   ▶ Lev:20 Int:90     ♥Wis:2, Life:100, Armor: 30 </t>
  </si>
  <si>
    <t xml:space="preserve">마블 햇    ▶ Lev:30 Int:140         ♥Wis:3, Life:200, Armor : 50 </t>
  </si>
  <si>
    <t xml:space="preserve">철갑투구   ▶ Lev:40 Str:210 Con:8   ♥Str:5, Con:2, Armor: 100 </t>
  </si>
  <si>
    <t xml:space="preserve">스펠헷     ▶ Lev:45 Int:230 Wis:15  ♥Wis:3, Life:400, Armor:85 </t>
  </si>
  <si>
    <t>원더햇     ▶ Lev:55 Int:300 Wis:20 Man:40♥Wis:10,Life:500, Armor:120</t>
  </si>
  <si>
    <t>비쥬햇-크리샤오르셋▶ Lev:68 Int:370 Wis:20 Man:55</t>
  </si>
  <si>
    <t xml:space="preserve">                                     ♥Wis:15, Life:850, Armor:150</t>
  </si>
  <si>
    <t xml:space="preserve">플레이트 투구  ▶ Lev:62 Str:340 Con:19♥Str:10, Con:5, Armor: 120 </t>
  </si>
  <si>
    <t>알렉산드 라이트 투구 ▶ Lev:72 Str:390 Con:23</t>
  </si>
  <si>
    <t xml:space="preserve">                                     ♥Str:15, Wis:8, Armor: 150 </t>
  </si>
  <si>
    <t>마노투구   ▶ Str:445 Con:26         ♥Str:18, Wis:12, Armor: 240</t>
  </si>
  <si>
    <t xml:space="preserve">시드왕 헬멧 ▶ Str:470 Con:30        ♥Str:20, Con:15, Armor: 280 </t>
  </si>
  <si>
    <t xml:space="preserve">버클러                               ♥Armor: 100 </t>
  </si>
  <si>
    <t>낡은 해골 방패 ▶ Cha:95             ♥Wis:2, Cha:2, Armor: 200</t>
  </si>
  <si>
    <t xml:space="preserve">해골 방패      ▶ Cha:140            ♥Wis:5, Cha:5, Armor:390 </t>
  </si>
  <si>
    <t>단단한 해골 방패 ▶ Cha:210          ♥Wis:7, Cha:5, Armor:420</t>
  </si>
  <si>
    <t xml:space="preserve">상인방패-요정의 씨앗 ▶ Cha:280      ♥Wis:20, Cha:20, Armor:550 </t>
  </si>
  <si>
    <t xml:space="preserve">모조 천상의 방패 ▶ Lev:15 Str:80    ♥Armor: 120 </t>
  </si>
  <si>
    <t xml:space="preserve">천상의 방패      ▶ Lev:24 Str:125   ♥Str:2, Armor: 140 </t>
  </si>
  <si>
    <t xml:space="preserve">모조 환영의 방패 ▶ Lev:31 Str:170   ♥Str:3, Armor: 180 </t>
  </si>
  <si>
    <t xml:space="preserve">환영의 방패 ▶ Lev:41 Str:225 Con:10 ♥Str:5, Con:2, Armor:220 </t>
  </si>
  <si>
    <t xml:space="preserve">강철 방패   ▶ Lev:51 Str:255 Con:15 ♥Str:7, Con:3, Armor:250 </t>
  </si>
  <si>
    <t xml:space="preserve">호플론      ▶ Lev:61 Str:310 Con:20 ♥Str:10, Con:5, Armor:290 </t>
  </si>
  <si>
    <t xml:space="preserve">타즈        ▶ Lev:72 Str:365 Con:25 ♥Str:12, Con:7, Armor:340 </t>
  </si>
  <si>
    <t xml:space="preserve">글로리 방패 ▶ Str:420 Con:30        ♥Str:15, Con:10, Armor:430 </t>
  </si>
  <si>
    <t xml:space="preserve"> ◆◆◆◆◆ 오크족 방어구 아이템 ◆◆◆◆◆</t>
  </si>
  <si>
    <t xml:space="preserve">▶ 착용조건 / ♥:착용후   </t>
  </si>
  <si>
    <t>레닌의 옷                            ♥Armor: 110</t>
  </si>
  <si>
    <t>스콜러 갑옷 ▶ Lev:15 Str:90         ♥Armor: 160</t>
  </si>
  <si>
    <t>밴디드 메일 ▶ Lev:32 Str:180 Con:5  ♥Str:5, Con:2, Armor: 195</t>
  </si>
  <si>
    <t>체인 메일   ▶ Lev:41 Str:240 Con:8  ♥Str:7, Con:4, Armor: 280</t>
  </si>
  <si>
    <t>컴포지트 메일▶Lev:53 Str:310 Con:17 ♥Str:10, Con:4, Armor: 390</t>
  </si>
  <si>
    <t>스플린트 메일▶Lev:61 Str:345 Con:21 ♥Str:15, Con:8, Armor: 460</t>
  </si>
  <si>
    <t>스톰갑옷-푸카셋▶Lev:70 Str:385 Con:25 ♥Str:20,Con:10, Armor:520</t>
  </si>
  <si>
    <t>필드 아머 ▶ Str:410 Con:30          ♥Str:25, Armor:560</t>
  </si>
  <si>
    <t>초기로브  ▶ Lev:20 Int:110          ♥Wis:1, Armor: 20</t>
  </si>
  <si>
    <t>상인모자-요정의 씨앗 ▶ Wis:20 Cha:250♥Wis:10, Cha:10, Armor:100</t>
  </si>
  <si>
    <t>모조 소가죽 투구                      ♥Armor: 5</t>
  </si>
  <si>
    <t>낡은 소가죽투구 ▶ Lev:15             ♥Armor: 10</t>
  </si>
  <si>
    <t>소가죽투구 ▶ Lev:20                  ♥Armor: 20</t>
  </si>
  <si>
    <t>헬름       ▶ Lev:25                  ♥Armor: 50</t>
  </si>
  <si>
    <t>강철투구   ▶ Lev:39Str:195 Con:8     ♥Str:4, Con:2, Armor: 75</t>
  </si>
  <si>
    <t>그레이트헬름▶ Lev:50 Str:255 Con:14  ♥Str:7, Con:3, Armor: 125</t>
  </si>
  <si>
    <t>스톰투구-푸카셋▶ Lev:61 Str:345 Con:20♥Str:10, Con:5, Armor: 140</t>
  </si>
  <si>
    <t>크로즈 헬멧 ▶ Lev:73 Str:380 Con:25  ♥Str:15, Con:10, Armor: 170</t>
  </si>
  <si>
    <t>아멧       ▶ Str:450 Con:30          ♥Str:20, Armor: 245</t>
  </si>
  <si>
    <t>버클러                                ♥Armor: 80</t>
  </si>
  <si>
    <t>쿠퍼 방패 ▶ Lev:13 Str:75            ♥Armor: 110</t>
  </si>
  <si>
    <t>전사의 방패▶Lev:22 Str:110           ♥Armor: 130</t>
  </si>
  <si>
    <t>보호 방패 ▶ Lev:30 Str:170           ♥Str:3, Armor: 160</t>
  </si>
  <si>
    <t>라지 실드 ▶ Lev:35 Str:200           ♥Armor : 195</t>
  </si>
  <si>
    <t>그랜드 실드▶ Lev:43 Str:240 Con:10   ♥Str:5, Con:2, Armor: 265</t>
  </si>
  <si>
    <t>강철 방패 ▶ Lev:55 Str:280 Con:15    ♥Str:7, Con:5, Armor: 270</t>
  </si>
  <si>
    <t>배틀 실드▶ Lev:65 Str:330 Con:25     ♥Str:10, Con:7, Armor: 310</t>
  </si>
  <si>
    <t>상인방패-요정의씨앗▶ Cha:280         ♥Wis:20, Cha:18, Armor: 550</t>
  </si>
  <si>
    <t>상인복-요정의씨앗▶ Cha:260           ♥Wis:15, Cha:18, Armor: 380</t>
  </si>
  <si>
    <t>페도라  ▶ Cha:180                    ♥Wis:6, Cha:8, Armor:75</t>
  </si>
  <si>
    <t>상인용 가먼트 ▶Cha:165               ♥Wis:10, Cha:20, Armor:260</t>
  </si>
  <si>
    <t xml:space="preserve"> ◆◆◆◆◆ 엘프족 방어구 아이템 ◆◆◆◆◆</t>
  </si>
  <si>
    <t xml:space="preserve">▶ 착용조건 / ♥:착용후    </t>
  </si>
  <si>
    <t>라이프 슬립                           ♥Armor: 130</t>
  </si>
  <si>
    <t>퍼플 플라워 슬립 ▶Lev:20             ♥Dex:2, Con:1, Armor:170</t>
  </si>
  <si>
    <t>릴리 갑옷 ▶ Lev:30 Dex:165 Con:5     ♥Dex:3, Con:2 Armor: 65</t>
  </si>
  <si>
    <t>브라이트 갑옷▶ Lev:40 Dex:215 Con:8  ♥Dex:5, Con:3, Armor:100</t>
  </si>
  <si>
    <t>엘리멘탈 갑옷▶ Lev:51 Dex:270 Con:13 ♥Dex:7, Con:4, Armor:130</t>
  </si>
  <si>
    <t>마이티 갑옷 ▶ Lev:62 Dex:320 Con:20  ♥Dex:10, Con:10, Armor:290</t>
  </si>
  <si>
    <t>비취슬립-신의입김▶Lev:68 Dex:370 Con:25♥Dex:15, Con:15,Armor:360</t>
  </si>
  <si>
    <t>님프 갑옷 ▶ Lev:81 Dex:420 Con:30    ♥Dex:20, Con:20, Armor:420</t>
  </si>
  <si>
    <t>모조 물소 가죽투구                    ♥Armor: 5</t>
  </si>
  <si>
    <t>낡은 물소 가죽투구▶Lev:15            ♥Con:1, Armor: 30</t>
  </si>
  <si>
    <t>물소 가죽투구  ▶ Lev:20              ♥Dex:2, Con:1, Armor: 50</t>
  </si>
  <si>
    <t>헬 름       ▶ Lev:30                 ♥Dex:3, Con:2, Armor: 25</t>
  </si>
  <si>
    <t>라이트 밴드 ▶ Lev:41 Dex:215 Con:8   ♥Dex:5, Con:3, Armor: 80</t>
  </si>
  <si>
    <t>리파인 밴드 ▶ Lev:52 Dex:260 Con:15  ♥Dex:7, Con:5, Armor: 120</t>
  </si>
  <si>
    <t>타이디 밴드 ▶ Lev:63 Dex:320 Con:20  ♥Dex:10, Con:10, Armor: 120</t>
  </si>
  <si>
    <t>비취맨드-신의입김 ▶ Lev:72 Dex:365 Con:25</t>
  </si>
  <si>
    <t xml:space="preserve">                                      ♥Dex:15, Con:15, Armor: 150</t>
  </si>
  <si>
    <t>노블 밴드  ▶ Lev:78 Dex:420 con:25   ♥Dex:20, Wis:20, Armor: 200</t>
  </si>
  <si>
    <t>상인 밴드-요정의씨앗▶ Wis:20 Cha:250 ♥Wis:10, Cha:10, Armor:100</t>
  </si>
  <si>
    <t>버클러                                ♥Armor: 100</t>
  </si>
  <si>
    <t>상인방패-요정의씨앗 ▶ Cha:280        ♥Wis:20, Cha:20, Armor:550</t>
  </si>
  <si>
    <t>라운드 실드        ▶ Lev:25          ♥Armor: 140</t>
  </si>
  <si>
    <t>단단한 라운드 실드 ▶ Lev:35          ♥Dex:3, Con:3, Armor:180</t>
  </si>
  <si>
    <t>크리스탈 실드      ▶ Lev:45          ♥Dex:5, Con:5, Armor:210</t>
  </si>
  <si>
    <t>단단한 크리스탈 실드▶Lev:55          ♥Dex:7, Con:7, Armor:250</t>
  </si>
  <si>
    <t>카이트 실드        ▶ Lev:61          ♥Dex:10, Con:10, Armor:280</t>
  </si>
  <si>
    <t>단단한 카이트 실드 ▶ Lev:72          ♥Dex:15, Con:15, Armor:330</t>
  </si>
  <si>
    <t xml:space="preserve"> ◆◆◆◆◆ 드래곤족 방어구 아이템 ◆◆◆◆◆</t>
  </si>
  <si>
    <t xml:space="preserve">▶ 착용조건 / ♥:착용후  </t>
  </si>
  <si>
    <t>여의주 1제 ▶Sta 6200   ♥Dex 1 Con 2 Armor 190</t>
  </si>
  <si>
    <t>여의주 2제 ▶Sta 7200   ♥Dex 2 Con 3 Armor 260</t>
  </si>
  <si>
    <t>여의주 3제 ▶Sta 9200   ♥Dex 3 Con 5 Armor 370</t>
  </si>
  <si>
    <t>여의주 4제 ▶Sta 10200  ♥Dex 4 Con 6 Armor 420</t>
  </si>
  <si>
    <t>여의주 5제 ▶Sta 12200  ♥Dex 5 Con 8 Armor 590</t>
  </si>
  <si>
    <t>여의주 6제 ▶Sta 16000  ♥Dex 7 Con 10 Armor 740</t>
  </si>
  <si>
    <t>여의주 7제 ▶Sta 19500  ♥Dex 8 Con 15 Armor 820</t>
  </si>
  <si>
    <t>여의주 8제 ▶Sta 24500  ♥Dex 13 Con 20 Armor 1150</t>
  </si>
  <si>
    <t>비월 1갑                       ♥Armor: 60</t>
  </si>
  <si>
    <t>비월 2갑          ▶Lev:30     ♥Dex:5, Con:7, Armor:130</t>
  </si>
  <si>
    <t>비월 3갑          ▶Lev:45     ♥Dex:6, Con:8, Armor:180</t>
  </si>
  <si>
    <t>비월 4갑          ▶Lev:60     ♥Dex:8, Con:10, Armor:270</t>
  </si>
  <si>
    <t>비월 5갑          ▶Lev:70     ♥Dex:12, Con:15, Armor:320</t>
  </si>
  <si>
    <t>비월 6갑          ▶Lev:80     ♥Dex:15, Con:20, Armor:370</t>
  </si>
  <si>
    <t>각반 1패                       ♥Dex:2, Con:3, Armor:110</t>
  </si>
  <si>
    <t>각반 2패          ▶Sta:3500   ♥Dex:3, Con:5, Armor:190</t>
  </si>
  <si>
    <t>각반 3패          ▶Sta:8500   ♥Dex:5, Con:7, Armor:260</t>
  </si>
  <si>
    <t>각반 4패          ▶Sta:11500  ♥Dex:5, Con:10, Armor:310</t>
  </si>
  <si>
    <t>각반 5패          ▶Sta:14500  ♥Dex:10, Con:15, Armor:390</t>
  </si>
  <si>
    <t xml:space="preserve"> ◆◆◆◆◆ 하프엘프족 방어구 아이템 ◆◆◆◆◆</t>
  </si>
  <si>
    <t>▶ 착용조건 / ♥:착용후</t>
  </si>
  <si>
    <t>크리스마스옷 ▶Dex:100 Con:5 ♥Armor: 95</t>
  </si>
  <si>
    <t>헌터 갑옷    ▶Dex:105 Con:5 ♥Dex: 5, Armor: 100</t>
  </si>
  <si>
    <t>로지아 갑옷  ▶Dex:150 Con:8 ♥Dex:8, Armor:200</t>
  </si>
  <si>
    <t>티로즈 갑옷  ▶Dex:250 Con:10♥Dex: 10, Con:3, Armor: 300</t>
  </si>
  <si>
    <t>디이스 갑옷  ▶Dex:300 Con:15♥Dex: 13, Con:5, Armor: 400</t>
  </si>
  <si>
    <t>라파엘 감옷  ▶Dex:450 Con:20♥Dex: 17, Con:8, Armor: 600</t>
  </si>
  <si>
    <t>윈드러스 갑옷▶Dex:500 Con:17♥Dex: 20, Con:10, Armor: 700</t>
  </si>
  <si>
    <t>샤키 갑옷    ▶Dex:600 Con:24♥Dex: 25, Con:15, Armor: 800</t>
  </si>
  <si>
    <t>크리스마스모자▶Dex:105      ♥Armor: 75</t>
  </si>
  <si>
    <t>비드스트링   ▶Dex:40        ♥Armor: 80</t>
  </si>
  <si>
    <t>작은 왕관    ▶Dex:60        ♥Armor: 100</t>
  </si>
  <si>
    <t>큐티헤어넷   ▶Dex:100       ♥Armor: 120</t>
  </si>
  <si>
    <t>디어스트링   ▶Dex:120       ♥Armor: 140</t>
  </si>
  <si>
    <t>더블 헤어넷  ▶Dex:120       ♥Armor: 140</t>
  </si>
  <si>
    <t>플라워핀     ▶Dex:200       ♥Armor: 180</t>
  </si>
  <si>
    <t>솜털밴드     ▶Dex:220       ♥Armor: 200</t>
  </si>
  <si>
    <t>후드         ▶Dex:250       ♥Armor: 220</t>
  </si>
  <si>
    <t>러블리 스트링▶Dex:275       ♥Armor: 240</t>
  </si>
  <si>
    <t>밍크 밴드    ▶Dex:300       ♥Armor: 260</t>
  </si>
  <si>
    <t>핑크 밴드    ▶Dex:325       ♥Armor: 280</t>
  </si>
  <si>
    <t>리본 밴드    ▶Dex:350       ♥Armor: 300</t>
  </si>
  <si>
    <t>라운드 핀    ▶Dex:400       ♥Armor: 320</t>
  </si>
  <si>
    <t>화려한 왕관  ▶Dex:450       ♥Armor: 360</t>
  </si>
  <si>
    <t xml:space="preserve">바이올렛 밴드▶Dex:500       ♥Armor: 380 </t>
  </si>
  <si>
    <t xml:space="preserve"> ◆◆◆◆◆ 모든종족 공통 방어구 아이템 ◆◆◆◆◆</t>
  </si>
  <si>
    <t>낡은 소가죽 장갑                 ♥Armor: 30</t>
  </si>
  <si>
    <t>소가죽 장갑                      ♥Life:40, Armor: 80</t>
  </si>
  <si>
    <t>하급 기술 장갑 ▶Cha:150         ♥Wis:10, Cha:10, Armor: 210</t>
  </si>
  <si>
    <t>기술 장갑      ▶Cha:210         ♥Wis:20, Cha:20, Armor: 330</t>
  </si>
  <si>
    <t>청동 글로브    ▶Lev:25          ♥Armor: 120</t>
  </si>
  <si>
    <t>단철 글로브    ▶Lev:35          ♥Armor: 170</t>
  </si>
  <si>
    <t>강철 글로브    ▶Lev:45          ♥Armor: 230</t>
  </si>
  <si>
    <t>체인 글로브    ▶Lev:55          ♥Armor: 280</t>
  </si>
  <si>
    <t>플래이트 글로브▶Lev:65          ♥Armor: 315</t>
  </si>
  <si>
    <t>크로스어모트 장갑▶Int:260       ♥Int: 8, Armor: 90</t>
  </si>
  <si>
    <t>린저 장갑      ▶Dex:260         ♥Dex:8, Armor: 155</t>
  </si>
  <si>
    <t>로스트 델타 장갑▶Str:260        ♥Str:8, Armor: 155</t>
  </si>
  <si>
    <t>스트린드 장갑  ▶Con:260         ♥Con:8, Armor: 155</t>
  </si>
  <si>
    <t>루버 건들렛    ▶Int:320         ♥Int:15, Armor: 210</t>
  </si>
  <si>
    <t>맨더린 건들렛  ▶Dex:320         ♥Dex:15, Armor: 270</t>
  </si>
  <si>
    <t>퍼플 건들렛    ▶Str:320         ♥Str:15, Armor: 270</t>
  </si>
  <si>
    <t>애저 건들렛    ▶Con:320         ♥Con:15, Armor: 270</t>
  </si>
  <si>
    <t xml:space="preserve">블루문 클로브  ▶Lev:75          ♥Life: 450, Armor: 360 </t>
  </si>
  <si>
    <t>낡은 소가죽 부츠                 ♥Sta: 250</t>
  </si>
  <si>
    <t>소가죽 부츠                      ♥Sta: 500</t>
  </si>
  <si>
    <t>청동 부츠      ▶Lev:30          ♥Armor: 50</t>
  </si>
  <si>
    <t>단철 부츠      ▶Lev:40          ♥Armor: 120</t>
  </si>
  <si>
    <t>강철 부츠      ▶Lev:50          ♥Armor: 180</t>
  </si>
  <si>
    <t>체인 부츠      ▶Lev:60          ♥Armor: 230</t>
  </si>
  <si>
    <t>플이트움 부츠  ▶Lev:70          ♥Armor: 280</t>
  </si>
  <si>
    <t>루버 부츠      ▶Int:310         ♥Int:3, Armor: 170</t>
  </si>
  <si>
    <t>크래프트 부츠  ▶Cha:290         ♥Cha:10, Armor: 225</t>
  </si>
  <si>
    <t>맨더린 부츠    ▶Dex:310         ♥Dex:10, Armor: 210</t>
  </si>
  <si>
    <t>퍼플 부츠      ▶Str:320         ♥Str:10, Armor: 210</t>
  </si>
  <si>
    <t>패딩 부츠      ▶Con:310         ♥Con:8, Armor: 210</t>
  </si>
  <si>
    <t>블루문 부츠    ▶Lev:80          ♥Life:550, Armor: 310</t>
  </si>
  <si>
    <t>소가죽벨트                       ♥Armor: 50</t>
  </si>
  <si>
    <t>라이트 벨트                      ♥Armor: 90</t>
  </si>
  <si>
    <t>헤비 벨트                        ♥Armor: 130</t>
  </si>
  <si>
    <t>낡은 상인조합 밸트▶Cha:110      ♥Cha:10, Armor: 150</t>
  </si>
  <si>
    <t>상인조합 밸트  ▶Cha:270         ♥Cha:20, Armor: 210</t>
  </si>
  <si>
    <t>낡은 블랙오라 거들▶Str:150      ♥Str:8, Con:2, Armor:150</t>
  </si>
  <si>
    <t>블랙오라 거들  ▶Str:340         ♥Str:12, Con:5, Armor: 210</t>
  </si>
  <si>
    <t>낡은 마리드거들▶Lev:21          ♥Con:8, Dex:8, Armor: 150</t>
  </si>
  <si>
    <t>마리드 거들    ▶Lev:65          ♥Con:13, Dex:13, Armor: 210</t>
  </si>
  <si>
    <t>낡은 레드 큐빅거들▶Lev:20       ♥Int:10, Wis:3, Armor: 150</t>
  </si>
  <si>
    <t>레드 큐빅거들  ▶Lev:65          ♥Int:12, Wis:5, Armor: 210</t>
  </si>
  <si>
    <t>☆★ 구 템 ★☆</t>
  </si>
  <si>
    <t xml:space="preserve">황동 갑옷         ▶Lev 31 Str 50                ♥Armor 200 </t>
  </si>
  <si>
    <t xml:space="preserve">헤진 사슬갑옷     ▶Lev 33 Str 90                ♥Con 5 Armor 160 </t>
  </si>
  <si>
    <t xml:space="preserve">사슬 갑옷         ▶Lev 40 Str 100               ♥Con 5 Armor 200 </t>
  </si>
  <si>
    <t xml:space="preserve">녹슨 사슬갑옷     ▶Lev 40 Str 120               ♥Con 7 Armor 250 </t>
  </si>
  <si>
    <t xml:space="preserve">단단한 사슬갑옷   ▶Lev 45 Str 120               ♥Con 10 Armor 290 </t>
  </si>
  <si>
    <t>청동 갑옷         ▶Lev 42 Str 120 Dex 15        ♥Armor 350</t>
  </si>
  <si>
    <t>여자 황동 갑옷    ▶Lev 50 Str 120 Con 20        ♥Con 10 Armor 300</t>
  </si>
  <si>
    <t xml:space="preserve">녹슨 은갑옷       ▶Lev 50 Str 170               ♥Armor 380 </t>
  </si>
  <si>
    <t xml:space="preserve">낡은 은갑옷       ▶Lev 50 Str 210 Con 20 Cha 10 ♥Armor 415 </t>
  </si>
  <si>
    <t xml:space="preserve">은 갑옷           ▶Lev 60 Str 250 Con 20 Cha 20 ♥Armor 450 </t>
  </si>
  <si>
    <t xml:space="preserve">단단한 은갑옷     ▶Lev 60 Str 250 Con 20 Cha 10 ♥Armor 500 </t>
  </si>
  <si>
    <t xml:space="preserve">여자 드래곤 갑옷  ▶Lev 60 Str 250 Cha 10        ♥Armor 500 </t>
  </si>
  <si>
    <t xml:space="preserve">로브                 ▶Lev 35 Int 120               ♥Int 10 Armor 10 </t>
  </si>
  <si>
    <t xml:space="preserve">베이직 로브          ▶Int 150                      ♥Int 5 Armor 25 </t>
  </si>
  <si>
    <t xml:space="preserve">헤진 사슬 로브       ▶Lev 40 Int 100 Wis 30        ♥Int 15 Armor 60 </t>
  </si>
  <si>
    <t>사슬 로브            ▶Lev 50 Int 200 Wis 50        ♥Int 30 Armor 100</t>
  </si>
  <si>
    <t xml:space="preserve">낡은 사슬로브        ▶Lev 50 Int 200 Wis 50        ♥Int 35 Armor 150 </t>
  </si>
  <si>
    <t xml:space="preserve">신비한 사슬로브      ▶Lev 55 Int 210 Wis 55        ♥Int 35 Wis 5 Armor 180 </t>
  </si>
  <si>
    <t xml:space="preserve">월광로브 - 아스트로셋▶Lev 65 Int 240 Wis 60 Man 65 </t>
  </si>
  <si>
    <t xml:space="preserve">                                 ♥Int 40 Wis 10 Armor 350 </t>
  </si>
  <si>
    <t xml:space="preserve">베르그 로브          ▶Int 430 Man 80               ♥Int 50 Wis 15 Armor 410 </t>
  </si>
  <si>
    <t xml:space="preserve">모조 가죽투구                                       ♥Armor 5 </t>
  </si>
  <si>
    <t xml:space="preserve">낡은 가죽투구     ▶Lev 15 Str 60 Wis 10            ♥Armor 10 </t>
  </si>
  <si>
    <t>질긴 가죽투구     ▶Lev 20 Str 80 Wis 10            ♥Int 7 Armor 15</t>
  </si>
  <si>
    <t xml:space="preserve">가죽투구          ▶Lev 25 Str 100 Wis 10           ♥Int 10 Armor 20 </t>
  </si>
  <si>
    <t>매직햇            ▶Lev 20 Str 80 Dex 30 Man 1      ♥Int 10 Armor 15</t>
  </si>
  <si>
    <t>철기 투구         ▶Lev 40 Str 150 Con 50           ♥Armor 80</t>
  </si>
  <si>
    <t xml:space="preserve">샤오르 모자       ▶Lev 45 Int 240                  ♥Int 13 Wis 2 Armor 20 </t>
  </si>
  <si>
    <t xml:space="preserve">전사 투구         ▶Lev 60 Str 240 Dex 10           ♥Con 10 Armor 100 </t>
  </si>
  <si>
    <t>골드 투구         ▶Lev 70 Str 300 Dex 50 Con 70    ♥Int 20 Armor 150</t>
  </si>
  <si>
    <t>파툼 투구         ▶Lev 80 Str 460 Man 60           ♥Str 15 Wis 15 Armor 230</t>
  </si>
  <si>
    <t xml:space="preserve">부라우니 헬멧     ▶Lev 90 Str 480 Man 80           ♥Str 30 Armor 280 </t>
  </si>
  <si>
    <t xml:space="preserve">나무방패                              ♥Armor: 100 </t>
  </si>
  <si>
    <t>스켈레톤 상인 방 패 ▶Cha 190          ♥Wis:2, Cha:2, Armor: 200</t>
  </si>
  <si>
    <t xml:space="preserve">가짜 전사의 방패    ▶Lev 30 Str 100 Dex 10  ♥Armor 130 </t>
  </si>
  <si>
    <t xml:space="preserve">전사의 방패         ▶Lev 30 Str 110 Dex 10  ♥Armor 150 </t>
  </si>
  <si>
    <t xml:space="preserve">무기력한 전사의 방패▶Lev 30 Str 110 Dex 10  ♥Armor 170 </t>
  </si>
  <si>
    <t>진정한 전사의 방패  ▶Lev 35 Str 130 Dex 15  ♥Str 5 Armor 200</t>
  </si>
  <si>
    <t xml:space="preserve">철기 방패           ▶Lev 50 Str 230 Con 20  ♥Armor 250 </t>
  </si>
  <si>
    <t xml:space="preserve">올리비에 방패       ▶Lev 60 Str 290         ♥Str 15 Int -10 Armor 290 </t>
  </si>
  <si>
    <t xml:space="preserve">토르 방패           ▶Lev 70 Str 350         ♥Str 18 Int -15 Armor 340 </t>
  </si>
  <si>
    <t xml:space="preserve">닉스 실드           ▶Str 520 Man 80         ♥Str 20 Armor 450 </t>
  </si>
  <si>
    <t>빌포르 갑옷     ▶Lev 15 Str 15                 ♥Str 5 Armor 170</t>
  </si>
  <si>
    <t>헤진 사슬 갑옷  ▶Lev 37 Str 100 Int 10 Wis 10 Dex 20</t>
  </si>
  <si>
    <t xml:space="preserve">                          ♥Armor 260</t>
  </si>
  <si>
    <t>사슬 갑옷       ▶Lev 40 Str 110 Int 10 Wis 10 Dex 35</t>
  </si>
  <si>
    <t xml:space="preserve">                          ♥Armor 300</t>
  </si>
  <si>
    <t>헤진 사슬 갑옷  ▶Lev 37 Str 100 Int 10 Wis 10 Dex 35</t>
  </si>
  <si>
    <t xml:space="preserve">                          ♥Armor 350</t>
  </si>
  <si>
    <t>단단한 사슬 갑옷▶Lev 37 Str 100 Int 10 Wis 10 Dex 35</t>
  </si>
  <si>
    <t xml:space="preserve">                          ♥Str 5 Dex 5 Armor 370</t>
  </si>
  <si>
    <t>오크 황금 갑옷  ▶Lev 60 Str 200 Dex 50 Cha 20  ♥Int 20 Con 10 Armor 450</t>
  </si>
  <si>
    <t>님로드 갑옷     ▶Lev 85 Str 415 Int 20         ♥Str 30 Int 10 Armor 520</t>
  </si>
  <si>
    <t>초기로브                                        ♥Armor 20</t>
  </si>
  <si>
    <t>모조 가죽 투구                                 ♥Armor 18</t>
  </si>
  <si>
    <t>가죽 투구                                      ♥Armor 25</t>
  </si>
  <si>
    <t>낡은 가죽 투구                                 ♥Armor 40</t>
  </si>
  <si>
    <t>질긴 가죽 투구                                 ♥Str 10 Armor 50</t>
  </si>
  <si>
    <t>오크 외뿔 투구  ▶Lev 40 Str 120 Dex 7         ♥Str 5 Dex 2 Armor 75</t>
  </si>
  <si>
    <t>오크 철갑 투구  ▶Lev 50 Str 150 Dex 10        ♥Con 5 Armor 100</t>
  </si>
  <si>
    <t>오크 전사 투구  ▶Lev 60 Str 175 Dex 15 Con 40 ♥Int 10 Armor 125</t>
  </si>
  <si>
    <t>오크 골드 투구  ▶Lev 70 Str 200 Dex 20 Con 80 ♥Int 20 Armor 150</t>
  </si>
  <si>
    <t>다이몬 헬멧     ▶Str 500 Con 20 Man 80        ♥Str 30 Con 10 Armor 250</t>
  </si>
  <si>
    <t>나무 방패                                ♥Armor 110</t>
  </si>
  <si>
    <t>레토 방패    ▶Lev 10             ♥Str 3 Armor 125</t>
  </si>
  <si>
    <t>라운드 방패  ▶Lev 20            ♥Str 5 Armor 140</t>
  </si>
  <si>
    <t>노토스 방패  ▶Lev 30            ♥Str 8 Armor 155</t>
  </si>
  <si>
    <t>비서스 실드  ▶Lev 35 Str 160           ♥Str 10 Wis 3 Armor 160</t>
  </si>
  <si>
    <t>미디벌 방패  ▶Lev 40                ♥Str 10 Armor 170</t>
  </si>
  <si>
    <t>오크 철 방패 ▶Lev 55 Str 200 Wis 10     ♥Str 10 Armor 200</t>
  </si>
  <si>
    <t>마이티 실드  ▶Lev 65 Str 240 Con 15     ♥Str 15 Armor 250</t>
  </si>
  <si>
    <t>모닝듀 슬립     ▶Dex 5                  ♥Armor 30</t>
  </si>
  <si>
    <t>퍼플 페더 슬립  ▶Dex 150                ♥Sta 500 Armor 160</t>
  </si>
  <si>
    <t>페르낭 슬립     ▶Lev 15 Dex 65          ♥Str 5 Dex 5 Armor 45</t>
  </si>
  <si>
    <t>미스티 갑옷     ▶Lev 30 Str 10 Dex 80   ♥Str 5 Dex 10 Armor 65</t>
  </si>
  <si>
    <t>사이닝 갑옷     ▶Lev 40 Str 10 Dex 130  ♥Str 5 Dex 17 Armor 100</t>
  </si>
  <si>
    <t>마운팅 갑옷     ▶Lev 50 Str 30 Dex 160  ♥Dex 35 Armor 130</t>
  </si>
  <si>
    <t>닉시 갑옷       ▶Lev 85 Dex 280 Con 30  ♥Dex 35 Con 10 Armor 450</t>
  </si>
  <si>
    <t>루시더스 갑옷   ▶Wis 20 Dex 350 Con 20  ♥Dex 35 Wis 15 Con 8 Armor 290</t>
  </si>
  <si>
    <t>사슴 가죽투구   ▶Lev 20 Con 60          ♥Dex 5 Armor 10</t>
  </si>
  <si>
    <t>궁수 투구       ▶Lev 30 Dex 90          ♥Dex 15 Armor 25</t>
  </si>
  <si>
    <t>그레이스 밴드   ▶Lev 40 Dex 150         ♥Dex 17 Wis 5 Armor 50</t>
  </si>
  <si>
    <t>딜라이 밴드     ▶Lev 50 Dex 210         ♥Dex 18 Wis 5 Armor 70</t>
  </si>
  <si>
    <t>루센트 밴드     ▶Dex 370 Man 17         ♥Dex 22 Wis 8 Armor 110</t>
  </si>
  <si>
    <t>디럭스 밴드     ▶Dex 480 Man 80         ♥Dex 25 Wis 10 Armor 130</t>
  </si>
  <si>
    <t>나무 방패                         ♥Armor 18</t>
  </si>
  <si>
    <t>라이언 방패     ▶Lev 25          ♥Armor 60</t>
  </si>
  <si>
    <t>얼음 방패       ▶Lev 35          ♥Armor 120</t>
  </si>
  <si>
    <t>유성 방패       ▶Lev 45          ♥Armor 150</t>
  </si>
  <si>
    <t>◆◆◆◆◆ 드래곤족 방어구 아이템 ◆◆◆◆◆</t>
  </si>
  <si>
    <t>드래곤 여의주 1제 ▶Sta:6200    ♥Dex:1, Con:2, Armor:120</t>
  </si>
  <si>
    <t>드래곤 여의주 2제 ▶Sta:7200    ♥Dex:2, Con:3, Armor:160</t>
  </si>
  <si>
    <t>드래곤 여의주 3제 ▶Sta:9200    ♥Dex:3, Con,5 Armor: 210</t>
  </si>
  <si>
    <t>드래곤 여의주 4제 ▶Sta:10200   ♥Dex:4, Con:6, Armor:260</t>
  </si>
  <si>
    <t>드래곤 여의주 5제 ▶Sta:12200   ♥Dex:5, Con:8, Armor:310</t>
  </si>
  <si>
    <t>천몽안 1심          ▶Lev 25    ♥Con 3 Armor 10</t>
  </si>
  <si>
    <t>천몽안 2심          ▶Lev 50    ♥Con 5 Armor 45</t>
  </si>
  <si>
    <t>천몽안 3심          ▶Lev 70    ♥Con 8 Armor 110</t>
  </si>
  <si>
    <t>보호 각반           ▶Sta 3500  ♥Armor 70</t>
  </si>
  <si>
    <t>방어 각반           ▶Sta 3500  ♥Armor 100</t>
  </si>
  <si>
    <t>수호 각반           ▶Sta 8500  ♥Armor 140</t>
  </si>
  <si>
    <t>방호 각반           ▶Sta 10500 ♥Armor 190</t>
  </si>
  <si>
    <t>수비 각반           ▶Sta 12500 ♥Armor 250</t>
  </si>
  <si>
    <t>◆◆◆◆◆ 모든 종족 공통 방어구 아이템 ◆◆◆◆◆</t>
  </si>
  <si>
    <t>가죽 장갑                        ♥Str 5 Cha 5</t>
  </si>
  <si>
    <t>드래곤 스킨 장갑 ▶Cha 200       ♥Cha 45 Mana 10 Armor 50</t>
  </si>
  <si>
    <t>동 글로브 ▶Lev 25               ♥Life 30 Armor 50</t>
  </si>
  <si>
    <t>철 글로브 ▶Lev 35 Str 135       ♥Dex 50 Life 50 Armor 20</t>
  </si>
  <si>
    <t>은 글로브 ▶Lev 45 Str 170       ♥Life 80 Armor 130</t>
  </si>
  <si>
    <t>금 글로브 ▶Lev 55 Str 200       ♥Life 200 Armor 190</t>
  </si>
  <si>
    <t>플래티움 글로브 ▶Lev 65 Str 230 ♥Life 170 Armor 260</t>
  </si>
  <si>
    <t>하이드 장갑   ▶Lev 20           ♥Dex 5 Mana 30 Armor 5</t>
  </si>
  <si>
    <t>포레스트 장갑 ▶Lev 30           ♥Dex 10 Mana 70 Armor 10</t>
  </si>
  <si>
    <t>오션 장갑     ▶Lev 40           ♥Dex 15 Mana 200 Armor 20</t>
  </si>
  <si>
    <t>스타폴 장갑   ▶Lev 50           ♥Dex 20 Mana 300 Armor 40</t>
  </si>
  <si>
    <t>선셋 장갑     ▶Lev 60           ♥Dex 25 Mana 450 Armor 80</t>
  </si>
  <si>
    <t>슬림 건틀렛   ▶Lev 60 Dex 200   ♥Dex 50</t>
  </si>
  <si>
    <t>가죽 부츠 ▶Lev 20               ♥Cha 7</t>
  </si>
  <si>
    <t>동 부츠   ▶Lev 30               ♥Cha 5 Armor 20</t>
  </si>
  <si>
    <t>철 부츠   ▶Lev 40               ♥Sta 100 Armor 35</t>
  </si>
  <si>
    <t>은 부츠   ▶Lev 50               ♥Sta 150 Armor 50</t>
  </si>
  <si>
    <t>금 부츠   ▶Lev 60               ♥Sta 300 Armor 65</t>
  </si>
  <si>
    <t>플래티움 부츠 ▶Lev 70           ♥Sta 450 Armor 80</t>
  </si>
  <si>
    <t>파인로드 부츠 ▶Lev 30 Dex 100   ♥Dex 10 Mana 200</t>
  </si>
  <si>
    <t>로드맨쉽 부츠 ▶Lev 40 Dex 140   ♥Dex 30 Mana 300</t>
  </si>
  <si>
    <t>스타폴 부츠   ▶Lev 50 Dex 180   ♥Dex 50 Mana 400</t>
  </si>
  <si>
    <t>가죽 벨트     ▶Lev 20           ♥Mana 200 Dex 5 Armor 10</t>
  </si>
  <si>
    <t>푸롬 벨트     ▶Lev 30           ♥Mana 300 Dex 10 Armor 20</t>
  </si>
  <si>
    <t>노르만 벨트   ▶Lev 40           ♥Mana 600 Dex 20 Armor 40</t>
  </si>
  <si>
    <t>길드쉽 샤시   ▶Lev 25 Cha 150   ♥Cha 15 Life 200</t>
  </si>
  <si>
    <t>썬라잇 거들   ▶Lev 25           ♥Dex 10 Life 300</t>
  </si>
  <si>
    <t>문라잇 거들   ▶Lev 25           ♥Life 300 Armor 30</t>
  </si>
  <si>
    <t>루비 거들     ▶Lev 55           ♥Life 1000 Armor 30</t>
  </si>
  <si>
    <t xml:space="preserve">&lt;A HREF="item.bhelp","**돌아가기**"&gt; </t>
  </si>
  <si>
    <t xml:space="preserve">  </t>
  </si>
  <si>
    <t>◆◆◆◆◆ 인간족 무기 아이템 ◆◆◆◆◆</t>
  </si>
  <si>
    <t>곡괭이(인간)                     ♥Damage:80~100</t>
  </si>
  <si>
    <t>핸드 소드 ▶Lev:20 Str:110 Con:5 ♥Str:2, Damage:240~360</t>
  </si>
  <si>
    <t xml:space="preserve">쇼트 소드 ▶Lev:25 Str:135 Con:7 ♥Str:3, Damage:280~470(예외) </t>
  </si>
  <si>
    <t>샤브르    ▶Lev:30 Str:165 Con:8 ♥Str:4, Damage:340~510</t>
  </si>
  <si>
    <t xml:space="preserve">키드니 대거▶Lev:35 Str:190 Con:12♥Str:5, Damage:400~600 </t>
  </si>
  <si>
    <t xml:space="preserve">더크 대거 ▶Lev:46 Str:240 Con:16♥Str:8, Damage:440-660 </t>
  </si>
  <si>
    <t>펠스타 검- 소울셋▶Lev:60 Str:305 Con:21♥Str:10, Damage:624~936</t>
  </si>
  <si>
    <t>커틀래스  ▶Lev:70 Str:360 Con:25 ♥Str:15, Damage:700~1400(예외)</t>
  </si>
  <si>
    <t>클레이모어▶Lev:80 Str:405 Con:30 ♥Str:20, Damage:1050~1800(예외)</t>
  </si>
  <si>
    <t xml:space="preserve">지팡이    ▶Int:35 ♥Damage:120~180 </t>
  </si>
  <si>
    <t>베이직 완드▶Int:70 ♥Damage:140~210</t>
  </si>
  <si>
    <t>매지션 스태프▶Lev:25 Int:120 Wis:10 ♥Int:3, Damage: 160~240</t>
  </si>
  <si>
    <t>맨틀 스태프  ▶Lev:30 Int:155 Wis:15 ♥Int:5, Damage:180~270</t>
  </si>
  <si>
    <t xml:space="preserve">윌 스태프    ▶Lev:35 Int:150 Wis:30 ♥Int:6, Damage:200~300 </t>
  </si>
  <si>
    <t xml:space="preserve">마이티 스테프▶Lev:40 Int:190 Wis:35 ♥Int:7, Damage:224~336 </t>
  </si>
  <si>
    <t>패르거스 스태프▶Lev:47 Int:230 Wis:46 ♥Int:8, Damage:210~400</t>
  </si>
  <si>
    <t xml:space="preserve">퍼플 비드 완드 ▶Lev:54 Int:255 Wis:55 ♥Int:10, Damage:264~396 </t>
  </si>
  <si>
    <t xml:space="preserve">그레이트 스태프▶Lev:60 Int:285 Wis:63 ♥Int:12, Damage:296~444 </t>
  </si>
  <si>
    <t xml:space="preserve">비쥬스태프 - 크리샤오르셋 ▶Lev:72 Int:395 Wis:70 Man:95 </t>
  </si>
  <si>
    <t xml:space="preserve">                                      ♥Int:15, Damage:360~540</t>
  </si>
  <si>
    <t xml:space="preserve">오웬의 스태프 ▶Lev:80 Int:335 Wis:85 ♥Int:20, Damage:480~720 </t>
  </si>
  <si>
    <t>◆◆◆◆◆ 오크족 무기 아이템 ◆◆◆◆◆</t>
  </si>
  <si>
    <t>곡괭이(오크)                       ♥Damage:80~120</t>
  </si>
  <si>
    <t>오크 지팡이                        ♥Damage:80~120</t>
  </si>
  <si>
    <t>손도끼                             ♥Damage:120~180</t>
  </si>
  <si>
    <t>배틀 엑스 ▶Lev:21 Str:125 Con:5   ♥Str:2, Damage:252~378</t>
  </si>
  <si>
    <t>메이스    ▶Lev:32 Str:180 Con:8   ♥Str:3, Con:3, Damage:344~516</t>
  </si>
  <si>
    <t>쿠크리    ▶Lev:37 Str:220 Con:15  ♥Str:4, Damage:420~680(예외)</t>
  </si>
  <si>
    <t>스톰검 - 푸카셋▶Lev:45 Str:250 Con:17♥Str:5, Damage:436~654</t>
  </si>
  <si>
    <t>소드 브레이커▶Lev:51 Str:280 Con:18♥Str:7, Damage:456~684</t>
  </si>
  <si>
    <t>크리스    ▶Lev:61 Str:310 Con:23   ♥Str:10, Damage:600~980(예외)</t>
  </si>
  <si>
    <t>오크 배틀 검▶Lev:70 Str:370 Con:28 ♥Str:15, Damage:880~1320</t>
  </si>
  <si>
    <t>미스틱 브레이드▶Lev:80 Str:415 Con:35♥Str:17, Damage:1080~1620</t>
  </si>
  <si>
    <t>웨폰 브레이커▶Str:450 Con:40    ♥Str:20, Damage:1300~2000(예외)</t>
  </si>
  <si>
    <t>상인용 스틱▶Cha:200             ♥Cha:10, Wis:10, Damage:104~156</t>
  </si>
  <si>
    <t>◆◆◆◆◆ 엘프족 무기 아이템 ◆◆◆◆◆</t>
  </si>
  <si>
    <t>엘프평검                         ♥Damage:80~190(예외)</t>
  </si>
  <si>
    <t>숏 스워드 ▶Lev:20               ♥Damage:280~420</t>
  </si>
  <si>
    <t>숏 엑스   ▶Lev:30               ♥Damage:368~552</t>
  </si>
  <si>
    <t xml:space="preserve">망고슈    ▶Lev:40               ♥Damage:416~624 </t>
  </si>
  <si>
    <t xml:space="preserve">토마호크  ▶Lev:50               ♥Damage:520~780 </t>
  </si>
  <si>
    <t xml:space="preserve">단단한 토마호크 ▶Lev:60         ♥Damage:624~936 </t>
  </si>
  <si>
    <t>옻나무 화살 ▶Lev:25             ♥Damage:24~36</t>
  </si>
  <si>
    <t>싸리나무 화살▶Lev:35            ♥Damage:80~120</t>
  </si>
  <si>
    <t>돌 화살   ▶Lev:45               ♥Damage:136~204</t>
  </si>
  <si>
    <t>바늘 화살 ▶Lev:55               ♥Damage:192~288</t>
  </si>
  <si>
    <t>뿔 화살   ▶Lev:65               ♥Damage:236~354</t>
  </si>
  <si>
    <t>독 화살   ▶Lev:75               ♥Damage:280~420</t>
  </si>
  <si>
    <t>단 활     ▶Lev:25               ♥Damage:200~300</t>
  </si>
  <si>
    <t>강화 활   ▶Dex:105 Con:5      ♥Damage:280~490(예외)</t>
  </si>
  <si>
    <t>장 활     ▶Dex:160 Con:7     ♥Dex:3, Damage:360~540</t>
  </si>
  <si>
    <t>합성 활   ▶Dex:310 Con:15     ♥Dex:5, Damage:600~900</t>
  </si>
  <si>
    <t xml:space="preserve">신의 입김 - 비취롱보우 ▶Dex:350 Con:20 </t>
  </si>
  <si>
    <t xml:space="preserve">                              ♥Dex:10, Damage:840~1260</t>
  </si>
  <si>
    <t>전투 활 ▶Dex:395 Con:26 ♥Dex:15, Damage:1350~2300(예외)</t>
  </si>
  <si>
    <t xml:space="preserve">사냥꾼의 활 ▶Dex:420 Con:30 ♥Dex:20, Damage:1680~2520 </t>
  </si>
  <si>
    <t>◆◆◆◆◆ 드래곤족 무기 아이템 ◆◆◆◆◆</t>
  </si>
  <si>
    <t>드래곤 느린 비조 ♥Damage:130~320(예외)</t>
  </si>
  <si>
    <t xml:space="preserve">드래곤 무딘 비조 ▶Lev:30 Dex:7 Con:150 </t>
  </si>
  <si>
    <t xml:space="preserve">                                 ♥Con:3 Damage:232~348</t>
  </si>
  <si>
    <t>드래곤 예리한 비조 ▶Lev:45 Dex:10 Con:235</t>
  </si>
  <si>
    <t xml:space="preserve">                                ♥Con:5, Damage:328~492</t>
  </si>
  <si>
    <t>드래곤 빠른 비조 ▶Lev:70 Dex:20 Con:365</t>
  </si>
  <si>
    <t xml:space="preserve">                        ♥Con:15, Damage: 780~1700(예외)</t>
  </si>
  <si>
    <t>드래곤 독 비조 ▶Lev:80 Dex:25 Con:415</t>
  </si>
  <si>
    <t xml:space="preserve">                        ♥Con:20, Damage:1160~1740</t>
  </si>
  <si>
    <t>◆◆◆◆◆ 하프엘프족 무기 아이템 ◆◆◆◆◆</t>
  </si>
  <si>
    <t xml:space="preserve">이글 보우       ▶Dex:25                ♥Damage: 80-120 </t>
  </si>
  <si>
    <t xml:space="preserve">롱 보우         ▶Dex:75                ♥Damage: 220-350 </t>
  </si>
  <si>
    <t xml:space="preserve">네추럴 보우     ▶Dex:125 con:5         ♥Damage: 290-380 </t>
  </si>
  <si>
    <t xml:space="preserve">로즈 보우       ▶Dex:175 con:10  ♥Dex:3 Damage: 450-670 </t>
  </si>
  <si>
    <t xml:space="preserve">쇼트 보우       ▶Dex:200 con:10  ♥Dex:5 Damage: 500-780 </t>
  </si>
  <si>
    <t xml:space="preserve">윈드스톰 보우   ▶Dex:250 con:15  ♥Dex:3 Damage: 600-900 </t>
  </si>
  <si>
    <t xml:space="preserve">헤론크로스 보우 ▶Dex:275 con:15 ♥Dex:10 Damage: 840-1260 </t>
  </si>
  <si>
    <t xml:space="preserve">메탈크로스 보우 ▶Dex:350 con:20 ♥Dex:10 Damage: 1150-2100 </t>
  </si>
  <si>
    <t xml:space="preserve">스톤크로스 보우 ▶Dex:400 con:25 ♥Dex:15 Damage: 1350-2300 </t>
  </si>
  <si>
    <t xml:space="preserve">타킷크로스 보우 ▶Dex:475 con:25 ♥Dex:15 Damage: 1680-2520 </t>
  </si>
  <si>
    <t xml:space="preserve">젠 크로스 보우  ▶Dex:550 con:30 ♥Dex:20 Damage: 2180-3100 </t>
  </si>
  <si>
    <t>◆◆◆◆◆ 보석류 ◆◆◆◆◆</t>
  </si>
  <si>
    <t>젬 스 톤(젬소켓을 제작할 수 있는 원료)</t>
  </si>
  <si>
    <t>캣츠아이                        ♥Cha: 5</t>
  </si>
  <si>
    <t>캣츠 아이 조각                  ♥Wis:2, Cha: 3</t>
  </si>
  <si>
    <t>문스톤                          ♥Dex: 5</t>
  </si>
  <si>
    <t>문스톤 조각                     ♥Dex:3, Con:2</t>
  </si>
  <si>
    <t>앰버                            ♥Con: 5</t>
  </si>
  <si>
    <t>앰버 조각                       ♥Dex: 2, Con: 3</t>
  </si>
  <si>
    <t>패러도트                        ♥Int: 5</t>
  </si>
  <si>
    <t>패러도트 조각                   ♥Int:3, Wis:2</t>
  </si>
  <si>
    <t>루틸                            ♥Wis: 5</t>
  </si>
  <si>
    <t>루틸 조각                       ♥Wis: 3</t>
  </si>
  <si>
    <t>로즈쿼츠                        ♥Str: 5</t>
  </si>
  <si>
    <t>로즈쿼츠 조각                   ♥Str:3, Con: 2</t>
  </si>
  <si>
    <t>사드                            ♥Life: 300</t>
  </si>
  <si>
    <t>사드 조각                       ♥Life: 20</t>
  </si>
  <si>
    <t>핑크 사파이어                   ♥Damage: 30</t>
  </si>
  <si>
    <t>핑크 사파이어 조각              ♥Damage: 3</t>
  </si>
  <si>
    <t>토멀린                          ♥Mana : 200</t>
  </si>
  <si>
    <t>토멀린 조각                     ♥Mana: 20</t>
  </si>
  <si>
    <t>밀키쿼츠                        ♥Stamina : 200</t>
  </si>
  <si>
    <t>밀키쿼츠 조각                   ♥Stamina : 20</t>
  </si>
  <si>
    <t>커닐리언                        ♥Str:2, Int:-3</t>
  </si>
  <si>
    <t>커닐리언 조각                   ♥Stamina : 20</t>
  </si>
  <si>
    <t>프레이즈                        ♥Wis:3, Dex:3, Con: 3</t>
  </si>
  <si>
    <t>프레이즈 조각                   ♥Stamina : 20</t>
  </si>
  <si>
    <t>어비스(아이템 업그레이드용)</t>
  </si>
  <si>
    <t>어비스 조각(어비스를 제작할 수 있는 원료)</t>
  </si>
  <si>
    <t>축복받은 어비스(아이템 업그레이드용, 업이 될 확률 어비스의 2배)</t>
  </si>
  <si>
    <t>가넷 조각                       ♥Wis -3 Con 2 Armor 3</t>
  </si>
  <si>
    <t>자수정 조각                     ♥Dex -3 Cha 2 Damage 2-4</t>
  </si>
  <si>
    <t>아쿠아마린 조각                 ♥Str -4 Wis 3</t>
  </si>
  <si>
    <t>에메랄드 조각                   ♥Int 3 Dex -4</t>
  </si>
  <si>
    <t>진주 조각                       ♥Str 3 Wis -4</t>
  </si>
  <si>
    <t>루비 조각                       ♥Str 2 Int -3 Damage 5</t>
  </si>
  <si>
    <t>오닉스 조각                     ♥Int -4 Dex 3</t>
  </si>
  <si>
    <t>사파이어 조각                   ♥Int 2 Wis 1 Dex -4</t>
  </si>
  <si>
    <t>오팔 조각                       ♥Str -2 Dex -2 Armor 7</t>
  </si>
  <si>
    <t>토파즈 조각                     ♥Str 2 Wis -4 Dex 1</t>
  </si>
  <si>
    <t>터키스 조각                     ♥Int -2 Wis -2 Damage 6-8</t>
  </si>
  <si>
    <t>가드니스                        ♥Cha 7</t>
  </si>
  <si>
    <t>스 타                           ♥Dex 7</t>
  </si>
  <si>
    <t>로즈 스피릿                     ♥Life 100</t>
  </si>
  <si>
    <t>코랄                            ♥Con 7</t>
  </si>
  <si>
    <t>선파워                          ♥Damage 40-60</t>
  </si>
  <si>
    <t>포레스트                        ♥Stamina 150</t>
  </si>
  <si>
    <t>카멧                            ♥Int 7</t>
  </si>
  <si>
    <t>쥬피터                          ♥Wis 7</t>
  </si>
  <si>
    <t>크래터                          ♥Int 5 Wis 3</t>
  </si>
  <si>
    <t>메테 오릿                       ♥Stamina 75 Armor 20</t>
  </si>
  <si>
    <t>어스                            ♥Armor 30</t>
  </si>
  <si>
    <t>오션 테어                       ♥Mana 100</t>
  </si>
  <si>
    <t>블러드 스톤                     ♥Str 7</t>
  </si>
  <si>
    <t>흑진주                          ♥Str 2 Damage 24-36</t>
  </si>
  <si>
    <t>가넷                            ♥Wis -3 Con 7 Armor 5</t>
  </si>
  <si>
    <t>자수정                          ♥Wis -3 Con 7 Armor 5</t>
  </si>
  <si>
    <t>아쿠아 마린                     ♥Str -4 Wis 7</t>
  </si>
  <si>
    <t>에메랄드                        ♥Int 7 Dex -4</t>
  </si>
  <si>
    <t>진주                            ♥Str 7 Wis -4</t>
  </si>
  <si>
    <t>루비                            ♥Str 7 Int -3 Damage 8-12</t>
  </si>
  <si>
    <t>오닉스                          ♥Int -4 Dex 7</t>
  </si>
  <si>
    <t>사파이어                        ♥Wis 3 Int 4 Dex -4</t>
  </si>
  <si>
    <t>오팔                            ♥Str -2 Dex -2 Armor 12</t>
  </si>
  <si>
    <t>토파즈                          ♥Str 4 Wis -4 Dex 3</t>
  </si>
  <si>
    <t>터키즈                          ♥Int -2 Wis -2 Damage 10-14</t>
  </si>
  <si>
    <t>플루토                          ♥Str 5 Dex 3</t>
  </si>
  <si>
    <t>&lt;A HREF="item.bhelp","***돌아가기***"&gt;</t>
  </si>
  <si>
    <t>◆◆◆◆◆ 장신구류 ◆◆◆◆◆</t>
  </si>
  <si>
    <t xml:space="preserve">희생의 링                           </t>
  </si>
  <si>
    <t xml:space="preserve"> ♥Str: 7</t>
  </si>
  <si>
    <t xml:space="preserve">정념의 링                          </t>
  </si>
  <si>
    <t xml:space="preserve"> ♥Int:7, Wis: 2</t>
  </si>
  <si>
    <t xml:space="preserve">모조 조합의 링                     </t>
  </si>
  <si>
    <t xml:space="preserve"> ♥Cha: 7</t>
  </si>
  <si>
    <t xml:space="preserve">아처의 링                          </t>
  </si>
  <si>
    <t xml:space="preserve"> ♥Dex:7, Con: 2</t>
  </si>
  <si>
    <t xml:space="preserve">모조 유성의 링 ▶Str:100 Con:10 </t>
  </si>
  <si>
    <t xml:space="preserve"> ♥Str:15, Con: 2</t>
  </si>
  <si>
    <t>유성의 링      ▶Str:270 Con:10</t>
  </si>
  <si>
    <t xml:space="preserve"> ♥Str:25, Con: 4</t>
  </si>
  <si>
    <t xml:space="preserve">모조 불의 링   ▶Int:80  Wis:10     </t>
  </si>
  <si>
    <t xml:space="preserve"> ♥Int: 15, Wis: 4</t>
  </si>
  <si>
    <t xml:space="preserve">불의 링        ▶Int:200 Wis:20    </t>
  </si>
  <si>
    <t xml:space="preserve"> ♥Int: 25, Wis: 5</t>
  </si>
  <si>
    <t xml:space="preserve">모조 수호의 링 ▶Dex:10  Con:90     </t>
  </si>
  <si>
    <t xml:space="preserve"> ♥Dex:3, Con: 15</t>
  </si>
  <si>
    <t xml:space="preserve">수호의 링      ▶Dex:20  Con:220    </t>
  </si>
  <si>
    <t xml:space="preserve"> ♥Dex:7, Con: 25</t>
  </si>
  <si>
    <t xml:space="preserve">모조 대지의 링 ▶Dex:95  Con:10     </t>
  </si>
  <si>
    <t xml:space="preserve"> ♥Dex:15, Con: 4</t>
  </si>
  <si>
    <t xml:space="preserve">대지의 링      ▶Dex:210 Con:20     </t>
  </si>
  <si>
    <t xml:space="preserve"> ♥Dex: 25, Con: 8</t>
  </si>
  <si>
    <t xml:space="preserve">코퍼 링                              </t>
  </si>
  <si>
    <t xml:space="preserve"> ♥Wis:2, Life: 50</t>
  </si>
  <si>
    <t xml:space="preserve">나무 링                            </t>
  </si>
  <si>
    <t xml:space="preserve"> ♥Armor: 5</t>
  </si>
  <si>
    <t xml:space="preserve">플레이트 링                        </t>
  </si>
  <si>
    <t xml:space="preserve"> ♥Armor: 10</t>
  </si>
  <si>
    <t xml:space="preserve">조합의 링      ▶Wis:15 cha:60     </t>
  </si>
  <si>
    <t xml:space="preserve"> ♥Wis:5, Cha: 15</t>
  </si>
  <si>
    <t xml:space="preserve">전사의 링      ▶Str:150 Dex:30    </t>
  </si>
  <si>
    <t xml:space="preserve"> ♥Damage: 75</t>
  </si>
  <si>
    <t xml:space="preserve">경혁           ▶Lev:21            </t>
  </si>
  <si>
    <t xml:space="preserve"> ♥Con: 14(드래곤족)</t>
  </si>
  <si>
    <t xml:space="preserve">영속류(靈束類)-은무(銀霧)▶Lev:42  </t>
  </si>
  <si>
    <t xml:space="preserve"> ♥Con: 8(드래곤족)</t>
  </si>
  <si>
    <t xml:space="preserve">모조 패러도트 목걸이 ▶Str:100     </t>
  </si>
  <si>
    <t xml:space="preserve"> ♥Int:5, Wis: 2</t>
  </si>
  <si>
    <t xml:space="preserve">패러도트 목걸이 ▶Str:310 Int:30   </t>
  </si>
  <si>
    <t xml:space="preserve"> ♥Int:15, Wis: 8</t>
  </si>
  <si>
    <t xml:space="preserve">로즈쿼츠 목걸이 ▶Str:280 Con:30   </t>
  </si>
  <si>
    <t xml:space="preserve"> ♥Str:20, Con:7</t>
  </si>
  <si>
    <t>캣츠아이 목걸이 ▶Wis:30  Cha:280        ♥Wis:8, Cha: 20</t>
  </si>
  <si>
    <t xml:space="preserve">모조 캣츠아이 목걸이               </t>
  </si>
  <si>
    <t xml:space="preserve"> ♥Life: 1000</t>
  </si>
  <si>
    <t xml:space="preserve">아처의 목걸이   ▶Dex:200          </t>
  </si>
  <si>
    <t xml:space="preserve"> ♥Damage: 130</t>
  </si>
  <si>
    <t xml:space="preserve">가고일 목걸이                      </t>
  </si>
  <si>
    <t xml:space="preserve"> ♥Damage: 100</t>
  </si>
  <si>
    <t xml:space="preserve">경익무(輕翼舞) ▶Lev:32            </t>
  </si>
  <si>
    <t xml:space="preserve"> ♥Con: 18(드래곤족)</t>
  </si>
  <si>
    <t xml:space="preserve">영속류(靈束類)-은로(銀露) ▶Lev:51 </t>
  </si>
  <si>
    <t xml:space="preserve"> ♥Con: 12(드래곤족)</t>
  </si>
  <si>
    <t xml:space="preserve">골드 링     ▶Int:40 Wis:30        </t>
  </si>
  <si>
    <t xml:space="preserve"> ♥Int:10</t>
  </si>
  <si>
    <t xml:space="preserve">가죽 링     ▶Wis:40               </t>
  </si>
  <si>
    <t xml:space="preserve"> ♥Armor:2</t>
  </si>
  <si>
    <t xml:space="preserve">조화의 링                        </t>
  </si>
  <si>
    <t xml:space="preserve"> ♥Str:3 Int:-3 Wis:-2 Dex:2</t>
  </si>
  <si>
    <t xml:space="preserve">실버 링     ▶Str:5   Dex:20        </t>
  </si>
  <si>
    <t xml:space="preserve"> ♥Dex:5</t>
  </si>
  <si>
    <t xml:space="preserve">힘의 링                             </t>
  </si>
  <si>
    <t xml:space="preserve"> ♥Str:4</t>
  </si>
  <si>
    <t xml:space="preserve">미노의 링   ▶Str 95 Dex 40 Con 10  </t>
  </si>
  <si>
    <t xml:space="preserve"> ♥Damage 16-24</t>
  </si>
  <si>
    <t xml:space="preserve">구리 링     ▶Con 50                </t>
  </si>
  <si>
    <t xml:space="preserve"> ♥Con 10</t>
  </si>
  <si>
    <t xml:space="preserve">지혜의 링                           </t>
  </si>
  <si>
    <t xml:space="preserve"> ♥Int 4</t>
  </si>
  <si>
    <t>물의 링     ▶Int 200 Wis 60 Con 10 Cha 10 ♥Int 7 Wis 3</t>
  </si>
  <si>
    <t>모조 파린의 링     ▶Str 150               ♥Str 20</t>
  </si>
  <si>
    <t>빛바랜 파린의 링   ▶Str 200 Cha 10        ♥Str 35</t>
  </si>
  <si>
    <t>파린의 링          ▶Str 250 Cha 10        ♥Str 50</t>
  </si>
  <si>
    <t>영롱한 파린의 링   ▶Str 250 Cha 20        ♥Str 60</t>
  </si>
  <si>
    <t>플래티움 링        ▶Str 200 Int 40        ♥Damage 40-60</t>
  </si>
  <si>
    <t>전사의 링   ▶Str 150 Dex 30              ♥Damage 60-90</t>
  </si>
  <si>
    <t>대지의 링   ▶Int 250 Cha 20              ♥Int 10</t>
  </si>
  <si>
    <t>바람의 링   ▶Int 250 Cha 10              ♥Int 50</t>
  </si>
  <si>
    <t>모조 실드 목걸이   ▶Int 100              ♥Int 5</t>
  </si>
  <si>
    <t>실드 목걸이 ▶Int 100 Wis 60 Dex 40 Con 20 Cha 20 ♥Int 50 Wis 30</t>
  </si>
  <si>
    <t>빛바랜 실드 목걸이 ▶Int 190 Wis 30       ♥Int 50</t>
  </si>
  <si>
    <t>영롱한 실드 목걸이 ▶Int 220 Wis 33       ♥Int 60</t>
  </si>
  <si>
    <t>미노의 목걸이  ▶Str 95 Dex 40 Con 10     ♥Str 25 Armor 20</t>
  </si>
  <si>
    <t>황동 목걸이 ▶Int 75                      ♥Armor 20</t>
  </si>
  <si>
    <t>작은 드래곤 목걸이 ▶Str 250 Dex 40       ♥Life 500</t>
  </si>
  <si>
    <t>코볼트 목걸이  ▶Str 170                  ♥Armor 4</t>
  </si>
  <si>
    <t>골렘 목걸이    ▶Int 150 Wis 25           ♥Armor 10</t>
  </si>
  <si>
    <t>지혜의 목걸이  ▶Int 200 Cha 5            ♥Mana 500</t>
  </si>
  <si>
    <t>힘의 목걸이                               ♥Str 7</t>
  </si>
  <si>
    <t xml:space="preserve">조화의 목걸이                      </t>
  </si>
  <si>
    <t xml:space="preserve">  ♥Str:-3, Int:3, Wis:2, Dex:-2</t>
  </si>
  <si>
    <t>전사 목걸이    ▶Str 200 Dex 30           ♥Damage 80-120</t>
  </si>
  <si>
    <t>◆◆◆◆◆ 광석류 ◆◆◆◆◆</t>
  </si>
  <si>
    <t>*돌.                 발견률은 적지만 가끔 보석광석의 재료가 된다.</t>
  </si>
  <si>
    <t>*보석 광석.      돌에서 가끔 발견된다. 보석 연금술의 주재료 이다.</t>
  </si>
  <si>
    <t>*금 광석.         광산주변에서 발견되며 가공 전이라 돌이나 다름없다.</t>
  </si>
  <si>
    <t>*플래티움 광석.광산주변에서 발견되며 가공 전이라 돌이나 다름없다.</t>
  </si>
  <si>
    <t>*구리 광석.      광산주변에서 발견되며 가공 전이라 돌이나 다름없다.</t>
  </si>
  <si>
    <t>*은 광석.         광산주변에서 발견되며 가공 전이라 돌이나 다름없다.</t>
  </si>
  <si>
    <t>*철 광석.         광산주변에서 발견되며 가공 전이라 돌이나 다름없다.</t>
  </si>
  <si>
    <t>*석 탄.            제련기술과 판금기술의 재료로 사용된다.</t>
  </si>
  <si>
    <t xml:space="preserve">*금 가루.         </t>
  </si>
  <si>
    <t>금괴 제작의 재료로 사용된다. 간단한 무기와 방어구의 재료</t>
  </si>
  <si>
    <t>*플래티움 가루.</t>
  </si>
  <si>
    <t>플래티움괴 제작의 재료로 사용된다. 간단한 무기, 방어구의 재료</t>
  </si>
  <si>
    <t>*구리 가루.</t>
  </si>
  <si>
    <t>구리괴 제작의 재료로 사용된다. 간단한 무기, 방어구의 재료</t>
  </si>
  <si>
    <t xml:space="preserve">*은 가루.        </t>
  </si>
  <si>
    <t>은괴 제작의 재료로 사용된다. 간단한 무기, 방어구의 재료</t>
  </si>
  <si>
    <t>*철 가루.</t>
  </si>
  <si>
    <t>철괴 제작의 재료로 사용된다. 간단한 무기, 방어구의 재료</t>
  </si>
  <si>
    <t>금 괴.             고차원적인 무기 및 방어구등의 재료이다.</t>
  </si>
  <si>
    <t>플래티움 괴.    고차원적인 무기 및 방어구등의 재료이다.</t>
  </si>
  <si>
    <t>구리 괴.           고차원적인 무기 및 방어구등의 재료이다.</t>
  </si>
  <si>
    <t>은 괴.              고차원적인 무기 및 방어구등의 재료이다.</t>
  </si>
  <si>
    <t>철 괴.              고차원적인 무기 및 방어구등의 재료이다.</t>
  </si>
  <si>
    <t>송 곳.              제본기술에 필요한 부재료</t>
  </si>
  <si>
    <t>바 늘.              제본기술과 판금기술 부재료</t>
  </si>
  <si>
    <t>모 루.              판금 및 제련기술 부재료</t>
  </si>
  <si>
    <t>주물기.            제련기술 부재료</t>
  </si>
  <si>
    <t>쇠국자.            제련기술 부재료</t>
  </si>
  <si>
    <t>집  게.             판금기술 부재료</t>
  </si>
  <si>
    <t>염색약.            화공 및 판금기술 부재료</t>
  </si>
  <si>
    <t>실타래.            판금기술 부재료</t>
  </si>
  <si>
    <t>큰 가죽.           제본기술 및 판금기술 부재료</t>
  </si>
  <si>
    <t>보물 상자.       무엇이 들어 있는지 모르는 상자</t>
  </si>
  <si>
    <t>열 쇠.             보물상자를 열 때 사용된다.</t>
  </si>
  <si>
    <t>갑 골.             뼈로 수차례 가공 끝에 나오는 산물로 진귀한 아이템</t>
  </si>
  <si>
    <t>응 가.             화공기술을 익힐 때 사용</t>
  </si>
  <si>
    <t>드래곤의 눈물.  마법을 익히는 재료로 사용</t>
  </si>
  <si>
    <t>잊혀진 다이아몬드. 고레벨 기술을 배울 때 사용한다.</t>
  </si>
  <si>
    <t>◆◆◆◆◆ 이벤트 아이템 ◆◆◆◆◆</t>
  </si>
  <si>
    <t>산타모자</t>
  </si>
  <si>
    <t>산타 장갑   ♥ Cha:5, Life: 100</t>
  </si>
  <si>
    <t>산타 옷      ♥ Armor: 15</t>
  </si>
  <si>
    <t xml:space="preserve">꼬깔 모자   ♥ Armor: 5 </t>
  </si>
  <si>
    <t>산타 부츠   ♥ Life: 50</t>
  </si>
  <si>
    <t>붉은 악마   ♥ Str:20, Armor: 350</t>
  </si>
  <si>
    <t>운동화        ♥ Life:50, Sta:300</t>
  </si>
  <si>
    <t>백일의 우정 ▶Lev:50   ♥ Life:2000, Damage:160-240</t>
  </si>
  <si>
    <t>교감의 링    ♥ Damage: 80-120</t>
  </si>
  <si>
    <t>아뮬렛        (퀘스트 전용 아이템)</t>
  </si>
  <si>
    <t>축구공        ♥ Damage: 1000</t>
  </si>
  <si>
    <t>●요구사항        ◆필요물품       ★소비 및 효과</t>
  </si>
  <si>
    <t xml:space="preserve"> </t>
  </si>
  <si>
    <t>▨▨ 메테오 더스트(Meteo Dust) ▨▨</t>
  </si>
  <si>
    <t xml:space="preserve">유성(meteor)보다 작은 별똥(Stardust)을 떨어뜨려 데미지를 주는 마법, </t>
  </si>
  <si>
    <t>메테오보다 위력이 약합니다.</t>
  </si>
  <si>
    <t>1레벨:● lev: 60 / int: 319 ◆ 마법책(메테오)</t>
  </si>
  <si>
    <t xml:space="preserve">        ★ Damage: 6,800~10,200 / 스펠시간 : 0.6초 / 마나소비 : 400</t>
  </si>
  <si>
    <t>2레벨:● lev: 66 / int: 346 ◆ 마법책(메테오)</t>
  </si>
  <si>
    <t xml:space="preserve">        ★ Damage: 8,480~12,720 / 스펠시간 : 0.6초 / 마나소비 : 450</t>
  </si>
  <si>
    <t>3레벨:● lev: 72 / int:3 73 ◆ 마법책(메테오)</t>
  </si>
  <si>
    <t xml:space="preserve">        ★ Damage: 11,040~16,560 / 스펠시간 : 0.7초 / 마나소비 : 500</t>
  </si>
  <si>
    <t>4레벨:● lev:78 / int: 400 ◆ 마법책(메테오)</t>
  </si>
  <si>
    <t xml:space="preserve">        ★ Damage: 13,440~20,160 / 스펠시간 : 0.7초 / 마나소비 : 550</t>
  </si>
  <si>
    <t>5레벨:● lev: 84 / int: 427 ◆ 마법책(메테오)</t>
  </si>
  <si>
    <t xml:space="preserve">        ★ Damage: 15,680~23,520 / 스펠시간 : 0.8초 / 마나소비 : 600</t>
  </si>
  <si>
    <t>6레벨:● lev: 85 / int: 432 ◆ 마법책(메테오)</t>
  </si>
  <si>
    <t xml:space="preserve">        ★ Damage: 16,000~24,000 / 스펠시간 : 0.8초 / 마나소비 : 700</t>
  </si>
  <si>
    <t>7레벨:● lev: 91 / int: 459 ◆ 마법책(메테오)</t>
  </si>
  <si>
    <t xml:space="preserve">        ★ Damage: 19,840~29,760 / 스펠시간 : 0.9초 / 마나소비 : 800</t>
  </si>
  <si>
    <t>8레벨:● lev: 97 / int: 486 ◆ 마법책(메테오)</t>
  </si>
  <si>
    <t xml:space="preserve">        ★ Damage: 23,040~34,560 / 스펠시간 : 0.9초 / 마나소비 : 900</t>
  </si>
  <si>
    <t>9레벨:● lev: 103 / int: 513 ◆ 마법책(메테오)</t>
  </si>
  <si>
    <t xml:space="preserve">        ★ Damage: 25,920~38,880 / 스펠시간 : 1.0초 / 마나소비 : 1,000</t>
  </si>
  <si>
    <t>10레벨:● lev: 109 / int: 540 ◆ 마법책(메테오)</t>
  </si>
  <si>
    <t xml:space="preserve">        ★ Damage: 29,760~44,640 / 스펠시간 : 1.0초 / 마나소비 : 1,150</t>
  </si>
  <si>
    <t>11레벨:● lev: 110/ int :544 ◆ 마법책(메테오)</t>
  </si>
  <si>
    <t xml:space="preserve">        ★ Damage: 30,400~45,600 / 스펠시간 : 1.0초 / 마나소비 : 1,300</t>
  </si>
  <si>
    <t>12레벨:● lev: 116/ int: 571 ◆ 마법책(메테오)</t>
  </si>
  <si>
    <t xml:space="preserve">        ★ Damage: 32,320~48,480 / 스펠시간 : 1.0초 / 마나소비 : 1,500</t>
  </si>
  <si>
    <t>13레벨:● lev: 122/ int: 598 ◆ 마법책(메테오)</t>
  </si>
  <si>
    <t xml:space="preserve">        ★ Damage: 34,560~51,840 / 스펠시간 : 1.0초 / 마나소비 : 1,750</t>
  </si>
  <si>
    <t>14레벨:● lev:1 28/ int: 625 ◆ 마법책(메테오)</t>
  </si>
  <si>
    <t xml:space="preserve">        ★ Damage: 37,440~56,160 / 스펠시간 : 1.1초 / 마나소비 : 2,000</t>
  </si>
  <si>
    <t>▨▨ 썬 더(Thunder) ▨▨</t>
  </si>
  <si>
    <t>적의 머리위에 낙뢰(落雷.Thunder)를 떨어뜨려 데미지를주는 마법입니다.</t>
  </si>
  <si>
    <t>1레벨:● lev: 40 / int: 229 ◆ 마법책(Thunder)</t>
  </si>
  <si>
    <t xml:space="preserve">        ★ Damage: 1,600~2,400 / 스펠시간 : 0.4초 / 마나소비 : 200</t>
  </si>
  <si>
    <t>2레벨:● lev: 46 / int: 256 ◆ 마법책(Thunder)</t>
  </si>
  <si>
    <t xml:space="preserve">        ★ Damage: 3,040~4,560 / 스펠시간 : 0.5초 / 마나소비 : 250</t>
  </si>
  <si>
    <t>3레벨:● lev: 52 / int :283 ◆ 마법책(Thunder)</t>
  </si>
  <si>
    <t xml:space="preserve">        ★ Damage: 4,640~6,960 / 스펠시간 : 0.5초 / 마나소비 : 300</t>
  </si>
  <si>
    <t>4레벨:● lev:58 / int :310 ◆ 마법책(Thunder)</t>
  </si>
  <si>
    <t xml:space="preserve">        ★ Damage: 6,320~9,480 / 스펠시간 : 0.5초 / 마나소비 : 350</t>
  </si>
  <si>
    <t>5레벨:● lev: 64 / int: 337 ◆ 마법책(Thunder)</t>
  </si>
  <si>
    <t xml:space="preserve">        ★ Damage: 7,760~11,640 / 스펠시간 : 0.6초 / 마나소비 : 400</t>
  </si>
  <si>
    <t>6레벨:● lev: 65 / int: 342 ◆ 마법책(Thunder)</t>
  </si>
  <si>
    <t xml:space="preserve">        ★ Damage: 8,000~12,000 / 스펠시간 : 0.6초 / 마나소비 : 450</t>
  </si>
  <si>
    <t>7레벨:● lev: 71 / int: 369 ◆ 마법책(Thunder)</t>
  </si>
  <si>
    <t xml:space="preserve">        ★ Damage: 10,720~16,080 / 스펠시간 : 0.7초 / 마나소비 : 500</t>
  </si>
  <si>
    <t>8레벨:● lev: 77 / int :396 ◆ 마법책(Thunder)</t>
  </si>
  <si>
    <t xml:space="preserve">        ★ Damage: 12,960~19,440/ 스펠시간 : 0.7초 / 마나소비 : 550</t>
  </si>
  <si>
    <t>9레벨:● lev: 83 / int: 423 ◆ 마법책(Thunder)</t>
  </si>
  <si>
    <t xml:space="preserve">        ★ Damage: 15,360~23,040/ 스펠시간 : 0.8초 / 마나소비 : 600</t>
  </si>
  <si>
    <t>10레벨:● lev: 89 / int: 450 ◆ 마법책(Thunder)</t>
  </si>
  <si>
    <t xml:space="preserve">        ★ Damage: 18,560~27,840/ 스펠시간 : 0.8초 / 마나소비 : 700</t>
  </si>
  <si>
    <t>11레벨:● lev: 90 / int: 454 ◆ 마법책(Thunder)</t>
  </si>
  <si>
    <t xml:space="preserve">        ★ Damage: 19,200~28,800/ 스펠시간 : 0.9초 / 마나소비 : 800</t>
  </si>
  <si>
    <t>12레벨:● lev: 96 / int: 481◆ 마법책(Thunder)</t>
  </si>
  <si>
    <t xml:space="preserve">        ★ Damage: 22,720~34,080/ 스펠시간 : 0.9초 / 마나소비 : 900</t>
  </si>
  <si>
    <t>13레벨:● lev: 102 / int: 508◆ 마법책(Thunder)</t>
  </si>
  <si>
    <t xml:space="preserve">        ★ Damage: 25,280~37,920/ 스펠시간 : 1.0초 / 마나소비 : 1,000</t>
  </si>
  <si>
    <t>14레벨:● lev: 108 / int: 535◆ 마법책(Thunder)</t>
  </si>
  <si>
    <t xml:space="preserve">        ★ Damage: 29,120~43,680/ 스펠시간 : 1.0초 / 마나소비 : 1,150</t>
  </si>
  <si>
    <t>15레벨:● lev: 114 / int: 562◆ 마법책(Thunder)</t>
  </si>
  <si>
    <t xml:space="preserve">        ★ Damage: 31,680~47,520/ 스펠시간 : 1.0초 / 마나소비 : 1,300</t>
  </si>
  <si>
    <t>16레벨:● lev: 115 / int: 567◆ 마법책(Thunder)</t>
  </si>
  <si>
    <t xml:space="preserve">        ★ Damage: 32,000~48,000/ 스펠시간 : 1.0초 / 마나소비 : 1,500</t>
  </si>
  <si>
    <t>17레벨:● lev: 121 / int: 594◆ 마법책(Thunder)</t>
  </si>
  <si>
    <t xml:space="preserve">        ★ Damage: 34,080~51,120/ 스펠시간 : 1.0초 / 마나소비 : 1,750</t>
  </si>
  <si>
    <t>18레벨:● lev: 127 / int: 621◆ 마법책(Thunder)</t>
  </si>
  <si>
    <t xml:space="preserve">        ★ Damage: 36,960~55,440/ 스펠시간 : 1.1초 / 마나소비 : 2,000</t>
  </si>
  <si>
    <t xml:space="preserve">1레벨:●Int: 410 / Wis: 20 ◆ 50,000레블 / 마법책(Thunder Swarm) </t>
  </si>
  <si>
    <t xml:space="preserve">         / 윌 스태프</t>
  </si>
  <si>
    <t xml:space="preserve">        ★ Damage: 500-1,500 / 스펠시간 : 0.6초 / 마나소비 : 1,000</t>
  </si>
  <si>
    <t xml:space="preserve">2레벨:●Int: 435 / Wis: 27 ◆ 60,000레블 / 마법책(Thunder Swarm) </t>
  </si>
  <si>
    <t xml:space="preserve">         / 블루문글로브</t>
  </si>
  <si>
    <t xml:space="preserve">        ★ Damage: 800-1,800 / 스펠시간 : 0.6초 / 마나소비 : 1,300</t>
  </si>
  <si>
    <t xml:space="preserve">3레벨:●Int: 460 / Wis: 30 ◆ 100,000레블 / 마법책(Thunder Swarm) </t>
  </si>
  <si>
    <t xml:space="preserve">         / 크리샤오르셋-비쥬햇</t>
  </si>
  <si>
    <t xml:space="preserve">        ★ Damage: 1,100~2,100 / 스펠시간 : 0.6초 / 마나소비 : 1,700</t>
  </si>
  <si>
    <t xml:space="preserve">4레벨:●Int: 475 / Wis: 35 ◆ 150,000레블 / 마법책(Thunder Swarm) </t>
  </si>
  <si>
    <t xml:space="preserve">         / 화려한왕관</t>
  </si>
  <si>
    <t xml:space="preserve">        ★ Damage: 1,500~2,500 / 스펠시간 : 0.6초 / 마나소비 : 2,000</t>
  </si>
  <si>
    <t xml:space="preserve">5레벨:●Int: 490 / Wis: 40 ◆ 200,000레블 / 마법책(Thunder Swarm) </t>
  </si>
  <si>
    <t xml:space="preserve">         / 젠 크로스보우</t>
  </si>
  <si>
    <t xml:space="preserve">        ★ Damage:2,000~3,000 / 스펠시간 : 0.6초 / 마나소비 : 2,400</t>
  </si>
  <si>
    <t xml:space="preserve">6레벨:●Int: 505 / Wis :45 ◆ 250,000레블 / 마법책(Thunder Swarm) </t>
  </si>
  <si>
    <t xml:space="preserve">         / 여의주 8제</t>
  </si>
  <si>
    <t xml:space="preserve">        ★ Damage: 2,500~3,500 / 스펠시간 : 0.6초 / 마나소비 : 2,800</t>
  </si>
  <si>
    <t xml:space="preserve">7레벨:●Int: 520 / Wis: 50 ◆ 300,000레블 / 마법책(Thunder Swarm) </t>
  </si>
  <si>
    <t xml:space="preserve">         / 크리스마스옷(하프엘프)</t>
  </si>
  <si>
    <t xml:space="preserve">        ★ Damage: 3,000~4,0000 / 스펠시간 : 0.6초 / 마나소비 : 3,000</t>
  </si>
  <si>
    <t xml:space="preserve">▨▨ 파이어 볼(Fireball) ▨▨ </t>
  </si>
  <si>
    <t xml:space="preserve">자신의 마력 50%의 데미지로 공격하는 주술사의 불의 원거리 공격이며, </t>
  </si>
  <si>
    <t>회오리치며 날아가는 붉은구 형태를 띱니다.</t>
  </si>
  <si>
    <t>1레벨:● lev: 73 / int: 378 ◆ 마법책(파이어볼)</t>
  </si>
  <si>
    <t xml:space="preserve">         ★ Damage:11,360~17,040 / 스펠시간 : 0.7초 / 마나소비 : 500</t>
  </si>
  <si>
    <t>2레벨:● lev: 79 / int: 405 ◆ 마법책(파이어볼)</t>
  </si>
  <si>
    <t xml:space="preserve">         ★ Damage: 13,920~20,880 / 스펠시간 : 0.7초 / 마나소비 : 550</t>
  </si>
  <si>
    <t>3레벨:● lev: 80 / int: 409 ◆ 마법책(파이어볼)</t>
  </si>
  <si>
    <t xml:space="preserve">         ★ Damage: 14,400~21,600 / 스펠시간 : 0.7초 / 마나소비 : 600</t>
  </si>
  <si>
    <t>4레벨:● lev: 86 / int: 436 ◆ 마법책(파이어볼)</t>
  </si>
  <si>
    <t xml:space="preserve">         ★ Damage: 16,640~24,960 / 스펠시간 : 0.8초 / 마나소비 : 700</t>
  </si>
  <si>
    <t>5레벨:● lev: 92 / int: 463 ◆ 마법책(파이어볼)</t>
  </si>
  <si>
    <t xml:space="preserve">         ★ Damage: 20,480~30,720 / 스펠시간 : 0.9초 / 마나소비 : 800</t>
  </si>
  <si>
    <t>6레벨:● lev: 98 / int:4 90 ◆ 마법책(파이어볼)</t>
  </si>
  <si>
    <t xml:space="preserve">         ★ Damage: 23,360~35,404 / 스펠시간 : 0.9초 / 마나소비 : 900</t>
  </si>
  <si>
    <t>7레벨:● lev: 104 / int: 517 ◆ 마법책(파이어볼)</t>
  </si>
  <si>
    <t xml:space="preserve">         ★ Damage: 26,560~39,840 / 스펠시간 : 1.0초 / 마나소비 : 1,000</t>
  </si>
  <si>
    <t>8레벨:● lev: 105 / int: 522 ◆ 마법책(파이어볼)</t>
  </si>
  <si>
    <t xml:space="preserve">         ★ Damage: 27,200~40,800 / 스펠시간 : 1.0초 / 마나소비 : 1,150</t>
  </si>
  <si>
    <t>9레벨:● lev: 111 / int: 549 ◆ 마법책(파이어볼)</t>
  </si>
  <si>
    <t xml:space="preserve">         ★ Damage:30,720~46,080 / 스펠시간 : 1.0초 / 마나소비 : 1,300</t>
  </si>
  <si>
    <t>10레벨:● lev: 117 / int: 576 ◆ 마법책(파이어볼)</t>
  </si>
  <si>
    <t xml:space="preserve">         ★ Damage:32,640~48,960 / 스펠시간 : 1.0초 / 마나소비 : 1,500</t>
  </si>
  <si>
    <t>11레벨:● lev: 123 / int: 603 ◆ 마법책(파이어볼)</t>
  </si>
  <si>
    <t xml:space="preserve">         ★ Damage: 35,040~52,560 / 스펠시간 : 1.0초 / 마나소비 : 1,750</t>
  </si>
  <si>
    <t>12레벨:● lev: 129 / int: 630 ◆ 마법책(파이어볼)</t>
  </si>
  <si>
    <t xml:space="preserve">         ★ Damage: 38,320~57,480 / 스펠시간 : 1.1초 / 마나소비 : 2,000</t>
  </si>
  <si>
    <t>▨▨ 메테오(Meteo) ▨▨</t>
  </si>
  <si>
    <t>1레벨: ● lev: 81 / int: 414 ◆ 마법책(메테오)</t>
  </si>
  <si>
    <t xml:space="preserve">          ★ Damage: 14,720~22,080 / 스펠시간 : 0.8초 / 마나소비 : 600</t>
  </si>
  <si>
    <t>2레벨: ● lev: 87 / int: 441 ◆ 마법책(메테오)</t>
  </si>
  <si>
    <t xml:space="preserve">          ★ Damage: 17,280~25,920 / 스펠시간 : 0.8초 / 마나소비 : 700</t>
  </si>
  <si>
    <t>3레벨: ● lev: 93 / int: 468 ◆ 마법책(메테오)</t>
  </si>
  <si>
    <t xml:space="preserve">          ★ Damage: 21,120~31,680 / 스펠시간 : 0.9초 / 마나소비 : 800</t>
  </si>
  <si>
    <t>4레벨: ● lev: 99 / int: 495 ◆ 마법책(메테오)</t>
  </si>
  <si>
    <t xml:space="preserve">          ★ Damage: 23,680~35,520 / 스펠시간 : 0.9초 / 마나소비 : 900</t>
  </si>
  <si>
    <t>5레벨: ● lev: 100 / int: 499 ◆ 마법책(메테오)</t>
  </si>
  <si>
    <t xml:space="preserve">          ★ Damage: 24,000~36,000 / 스펠시간 : 1.0초 / 마나소비 : 1,000</t>
  </si>
  <si>
    <t>6레벨: ● lev: 106 / int: 526 ◆ 마법책(메테오)</t>
  </si>
  <si>
    <t xml:space="preserve">          ★ Damage: 27.840~41,760 / 스펠시간 : 1.0초 / 마나소비 : 1,150</t>
  </si>
  <si>
    <t>7레벨: ● lev: 112 / int: 553 ◆ 마법책(메테오)</t>
  </si>
  <si>
    <t xml:space="preserve">          ★ Damage: 31,040~46,560 / 스펠시간 : 1.0초 / 마나소비 : 1,300</t>
  </si>
  <si>
    <t>8레벨: ● lev: 118 / int: 580 ◆ 마법책(메테오)</t>
  </si>
  <si>
    <t xml:space="preserve">          ★ Damage:32,960~49,440 / 스펠시간 : 1.0초 / 마나소비 : 1,500</t>
  </si>
  <si>
    <t>9레벨: ● lev: 124 / int: 580 ◆ 마법책(메테오)</t>
  </si>
  <si>
    <t xml:space="preserve">          ★ Damage: 35,520~53,280 / 스펠시간 : 1.0초 / 마나소비 : 1,750</t>
  </si>
  <si>
    <t>10레벨: ● lev: 125 / int: 612 ◆ 마법책(메테오)</t>
  </si>
  <si>
    <t xml:space="preserve">          ★ Damage: 36,000~54,000 / 스펠시간 : 1.1초 / 마나소비 : 2,000</t>
  </si>
  <si>
    <t xml:space="preserve">1레벨: ●Int: 460 / Dex: 4 ◆ 300,000레블 /마법책(Meteor Swarm) </t>
  </si>
  <si>
    <t xml:space="preserve">         / 원더햇 </t>
  </si>
  <si>
    <t xml:space="preserve">        ★ Damage: 1~4,000 / 스펠시간 : 0.6초 / 마나소비 : 5,000</t>
  </si>
  <si>
    <t xml:space="preserve">2레벨: ●Int: 510 / Dex: 7 ◆ 500,000레블 /마법책(Meteor Swarm) </t>
  </si>
  <si>
    <t xml:space="preserve">        ★ Damage: 1~5,000 / 스펠시간 : 0.6초 / 마나소비 : 6,000</t>
  </si>
  <si>
    <t>1레벨: ●Int: 265 ◆ 10.000레블 / 마법책(Flame Arrow)/ 마법책(Fireball)</t>
  </si>
  <si>
    <t xml:space="preserve">         ★ Damage: 1~4000 / 스펠시간 : 0.6초 / 마나소비 : 5,000</t>
  </si>
  <si>
    <t>1레벨:● lev:20 / int:150 ◆ 100레블 / 해골방패(인간)</t>
  </si>
  <si>
    <t xml:space="preserve">         ★ Damage:80~120 / 스펠시간 : 0.6초 / 마나 소비 : 15</t>
  </si>
  <si>
    <t>2레벨:● lev:30 / int:190 / Manner : 45 ◆ 150레블 / 그랜드실드(오크)</t>
  </si>
  <si>
    <t xml:space="preserve">         ★ Damage:240~360 / 스펠시간 : 0.6초 / 마나 소비 : 40</t>
  </si>
  <si>
    <t>3레벨:● lev:40 / int:250 / Manner : 65 ◆ 250레블 / 환영의방패(인간)</t>
  </si>
  <si>
    <t xml:space="preserve">         ★ Damage:240~360 / 스펠시간 : 0.6초 / 마나 소비 : 60</t>
  </si>
  <si>
    <t>4레벨:● lev:60 / int:350 / Manner : 85 ◆ 350레블 / 강철방패(인간)</t>
  </si>
  <si>
    <t xml:space="preserve">         ★ Damage:250~780 / 스펠시간 : 0.6초 / 마나 소비 : 85</t>
  </si>
  <si>
    <t>5레벨:● lev:80 / int:450 / Manner : 105 ◆ 450레블 / 타즈(인간)</t>
  </si>
  <si>
    <t xml:space="preserve">         ★ Damage:720~1,080 / 스펠시간 : 0.6초 / 마나 소비 : 110</t>
  </si>
  <si>
    <t>6레벨:● lev:100 / int:490 / Manner : 125 ◆ 650레블 / 배틀실드(오크)</t>
  </si>
  <si>
    <t xml:space="preserve">         ★ Damage:880~1,320 / 스펠시간 : 0.6초 / 마나 소비 : 135</t>
  </si>
  <si>
    <t>7레벨:● lev:130 / int:530 / Manner : 155 ◆ 850레블 / 글로리방패(인간)</t>
  </si>
  <si>
    <t xml:space="preserve">         ★ Damage:1,040~1,560 / 스펠시간 : 0.6초 / 마나 소비 : 145</t>
  </si>
  <si>
    <t xml:space="preserve">▨▨ 파이어 보우 (Fire Bow) ▨▨ </t>
  </si>
  <si>
    <t xml:space="preserve">화살에 불을 붙여 쏜다! </t>
  </si>
  <si>
    <t xml:space="preserve">1레벨:● lev:85 / Dex:432  </t>
  </si>
  <si>
    <t xml:space="preserve">        ★ Damage: 2,880~4,320 /  마나소비 : 100</t>
  </si>
  <si>
    <t xml:space="preserve">2레벨:● lev:90 / Dex:454  </t>
  </si>
  <si>
    <t xml:space="preserve">        ★ Damage: 3,404~4,560 /  마나소비 : 100</t>
  </si>
  <si>
    <t xml:space="preserve">3레벨:● lev:90 / Dex:477  </t>
  </si>
  <si>
    <t xml:space="preserve">        ★ Damage: 3,200~4,800 /  마나소비 : 100</t>
  </si>
  <si>
    <t xml:space="preserve">4레벨:● lev:100 / Dex:499  </t>
  </si>
  <si>
    <t xml:space="preserve">        ★ Damage: 3,360~5,040 /  마나소비 : 100</t>
  </si>
  <si>
    <t xml:space="preserve">5레벨:● lev:105 / Dex:522  </t>
  </si>
  <si>
    <t xml:space="preserve">        ★ Damage: 3,520~5,280 /  마나소비 : 100</t>
  </si>
  <si>
    <t xml:space="preserve">6레벨:● lev:110 / Dex:544  </t>
  </si>
  <si>
    <t xml:space="preserve">        ★ Damage: 3,680~5,520 /  마나소비 : 100</t>
  </si>
  <si>
    <t xml:space="preserve">7레벨:● lev:115 / Dex:567  </t>
  </si>
  <si>
    <t xml:space="preserve">        ★ Damage: 3,840~5,760 /  마나소비 : 100</t>
  </si>
  <si>
    <t xml:space="preserve">8레벨:● lev:120 / Dex:589  </t>
  </si>
  <si>
    <t xml:space="preserve">        ★ Damage: 4,000~6,000 /  마나소비 : 100</t>
  </si>
  <si>
    <t xml:space="preserve">9레벨:● lev:125 / Dex:612 </t>
  </si>
  <si>
    <t xml:space="preserve">        ★ Damage: 4,160~6,240 /  마나소비 : 100</t>
  </si>
  <si>
    <t xml:space="preserve">▨▨ 파이어 크로스보우 (Fire CrossBow) ▨▨ </t>
  </si>
  <si>
    <t xml:space="preserve">        ★ Damage: 2,960~4,440 /  마나소비 : 100</t>
  </si>
  <si>
    <t xml:space="preserve">        ★ Damage: 3,124~4,680 /  마나소비 : 100</t>
  </si>
  <si>
    <t xml:space="preserve">        ★ Damage: 3,280~4,920 /  마나소비 : 100</t>
  </si>
  <si>
    <t xml:space="preserve">        ★ Damage: 3,440~5,160 /  마나소비 : 100</t>
  </si>
  <si>
    <t xml:space="preserve">        ★ Damage: 3,600~5,400 /  마나소비 : 100</t>
  </si>
  <si>
    <t xml:space="preserve">        ★ Damage: 3,760~5,640 /  마나소비 : 100</t>
  </si>
  <si>
    <t xml:space="preserve">        ★ Damage: 3,920~5,880 /  마나소비 : 100</t>
  </si>
  <si>
    <t xml:space="preserve">        ★ Damage: 4,080~6,120 /  마나소비 : 100</t>
  </si>
  <si>
    <t xml:space="preserve">        ★ Damage: 4,240~6,360 /  마나소비 : 100</t>
  </si>
  <si>
    <t>♣ 공기계열마법 ♣</t>
  </si>
  <si>
    <t>▨▨ 라이팅 볼(Lighting Ball) ▨▨</t>
  </si>
  <si>
    <t>공기 마법 계열로 밝은 빛의 힘으로 적에게 가벼운 타격을 가하는 마법</t>
  </si>
  <si>
    <t>으로 적은 마나 소비량이 특징입니다.</t>
  </si>
  <si>
    <t xml:space="preserve">    </t>
  </si>
  <si>
    <t>1레벨:● lev:20 / int:139 ◆마법책(라이팅볼)</t>
  </si>
  <si>
    <t xml:space="preserve">         ★ Damage: 400~600 / 스펠시간 : 0.4초 / 마나소비 : 80</t>
  </si>
  <si>
    <t>2레벨:● lev:26 int:166 ◆마법책(라이팅볼)</t>
  </si>
  <si>
    <t xml:space="preserve">         ★ Damage: 544~816 / 스펠시간 : 0.4초 / 마나소비 : 90</t>
  </si>
  <si>
    <t>3레벨:● lev:32 / int:193 ◆ 마법책(라이팅볼)</t>
  </si>
  <si>
    <t xml:space="preserve">         ★ Damage: 704~1,056 / 스펠시간 : 0.4초 / 마나소비 : 100</t>
  </si>
  <si>
    <t>4레벨:● lev:38 / int:220 ◆마법책(라이팅볼)</t>
  </si>
  <si>
    <t xml:space="preserve">         ★ Damage: 1,280~1,920 / 스펠시간 : 0.4초 / 마나소비 : 150</t>
  </si>
  <si>
    <t>5레벨:● lev:44 / int:247 ◆마법책(라이팅볼)</t>
  </si>
  <si>
    <t xml:space="preserve">         ★ Damage: 2,560~3,840/ 스펠시간 : 0.4초 / 마나소비 : 200</t>
  </si>
  <si>
    <t>6레벨:● lev:45, int:252 ◆마법 책(라이팅볼)</t>
  </si>
  <si>
    <t xml:space="preserve">         ★ Damage: 2,800~4200 / 스펠시간 : 0.5초 / 마나소비 : 250</t>
  </si>
  <si>
    <t>7레벨:● lev:51 / int:279 ◆마법책(라이팅볼)</t>
  </si>
  <si>
    <t xml:space="preserve">         ★ Damage: 4,320~6,480 / 스펠시간 : 0.5초 / 마나소비 : 300</t>
  </si>
  <si>
    <t>8레벨:● lev:57 / int:306 ◆마법책(라이팅볼)</t>
  </si>
  <si>
    <t xml:space="preserve">         ★ Damage: 6,080~9,120 / 스펠시간 : 0.5초 / 마나소비 : 350</t>
  </si>
  <si>
    <t>9레벨:● lev:63 int:333 ◆마법책(라이팅볼)</t>
  </si>
  <si>
    <t xml:space="preserve">         ★ Damage: 7,520~11,280 / 스펠시간 : 0.6초 / 마나소비 : 400</t>
  </si>
  <si>
    <t>10레벨:● lev:69 / nt:360 ◆마법책(라이팅볼)</t>
  </si>
  <si>
    <t xml:space="preserve">         ★ Damage: 9,920~14,880 / 스펠시간 : 0.6초 / 마나소비 : 450</t>
  </si>
  <si>
    <t>11레벨:● lev:70 / int:364 ◆마법책(라이팅볼)</t>
  </si>
  <si>
    <t xml:space="preserve">         ★ Damage: 10,400~15,600 / 스펠시간 : 0.7초 / 마나소비 : 500</t>
  </si>
  <si>
    <t>12레벨:● lev76 / int:391 ◆마법책(라이팅볼)</t>
  </si>
  <si>
    <t xml:space="preserve">         ★ Damage: 12,48~18,720 / 스펠시간 : 0.7초 / 마나소비 : 550</t>
  </si>
  <si>
    <t>13레벨:● lev:82 / int:418 ◆마법책(라이팅볼)</t>
  </si>
  <si>
    <t xml:space="preserve">         ★ Damage: 15,040~22,560 / 스펠시간 : 0.8초 / 마나소비 : 600</t>
  </si>
  <si>
    <t>14레벨:● lev:88 / int:445 ◆마법책(라이팅볼)</t>
  </si>
  <si>
    <t xml:space="preserve">         ★ Damage: 17,920~26,880 / 스펠시간 : 0.8초 / 마나소비 : 700</t>
  </si>
  <si>
    <t>15레벨:● lev:94 / int:472 ◆마법책(라이팅볼)</t>
  </si>
  <si>
    <t xml:space="preserve">         ★ Damage: 21,760~32,640 / 스펠시간 : 0.9초 / 마나소비 : 800</t>
  </si>
  <si>
    <t>16레벨:● lev:95 / int:477 ◆마법책(라이팅볼)</t>
  </si>
  <si>
    <t xml:space="preserve">         ★ Damage: 22,400~33,600 / 스펠시간 : 0.9초 / 마나소비 : 900</t>
  </si>
  <si>
    <t>17레벨:● lev:101 / int:504 ◆마법책(라이팅볼)</t>
  </si>
  <si>
    <t xml:space="preserve">         ★ Damage: 246,40~36,960 / 스펠시간 : 1.0초 / 마나소비 : 1000</t>
  </si>
  <si>
    <t>18레벨:● lev:107 / int:531 ◆마법책(라이팅볼)</t>
  </si>
  <si>
    <t xml:space="preserve">         ★ Damage: 28,480~42,720 / 스펠시간 : 1.0초 / 마나소비 : 1150</t>
  </si>
  <si>
    <t>19레벨:● lev:113 / int:558 ◆마법책(라이팅볼)</t>
  </si>
  <si>
    <t xml:space="preserve">         ★ Damage: 31,360~47,040 / 스펠시간 : 1.0초 / 마나소비 : 1300</t>
  </si>
  <si>
    <t>20레벨:● lev:119 / int:585 ◆마법책(라이팅볼)</t>
  </si>
  <si>
    <t xml:space="preserve">         ★ Damage: 33,280~49,920 / 스펠시간 : 1.0초 / 마나소비 : 1500</t>
  </si>
  <si>
    <t>21레벨:● lev:120 / int:589 ◆마법책(라이팅볼)</t>
  </si>
  <si>
    <t xml:space="preserve">         ★ Damage: 33,600~50,400 / 스펠시간 : 1.0초 / 마나소비 : 1750</t>
  </si>
  <si>
    <t>22레벨:● lev:126 / int:616 ◆마법책(라이팅볼)</t>
  </si>
  <si>
    <t xml:space="preserve">         ★ Damage: 36,480~54,720 / 스펠시간 :1.1초 / 마나소비 : 2000</t>
  </si>
  <si>
    <t>▨▨ 텔레포트(Teleport) ▨▨</t>
  </si>
  <si>
    <t>원하는 장소로 이동 가능한 마법이다. 레벨이 높아질수록 이동하는 시간</t>
  </si>
  <si>
    <t>이 줄어듭니다.</t>
  </si>
  <si>
    <t xml:space="preserve">     </t>
  </si>
  <si>
    <t>1레벨:● lev:50 / int:200 / wis:30</t>
  </si>
  <si>
    <t xml:space="preserve">        ◆ 3000레블, 마법책(텔레포트) / 소량의 제작 힐링포션</t>
  </si>
  <si>
    <t xml:space="preserve">        ★ 스펠시간 : 2.0초 / 마나소비 : 1000</t>
  </si>
  <si>
    <t>2레벨:● lev:60 / int:250 / wis:40</t>
  </si>
  <si>
    <t xml:space="preserve">        ◆ 8000레블 / 마법책(텔레포트) / 중량의 제작 힐링포션</t>
  </si>
  <si>
    <t xml:space="preserve">        ★ 스펠시간 : 1.7초 / 마나소비 : 1000</t>
  </si>
  <si>
    <t>3레벨:● lev:70 / int:300 / wis:50</t>
  </si>
  <si>
    <t xml:space="preserve">        ◆ 1.2000레블 / 마법책(텔레포트) / 대량의 제작 힐링포션</t>
  </si>
  <si>
    <t xml:space="preserve">        ★ 스펠시간 : 1.4초 / 마나소비 : 1100</t>
  </si>
  <si>
    <t>4레벨:● lev:80 / int:350 / wis:60</t>
  </si>
  <si>
    <t xml:space="preserve">        ◆ 20,000레블, 마법책(텔레포트) / 초대량의 제작 힐링포션</t>
  </si>
  <si>
    <t xml:space="preserve">        ★ 스펠시간 : 1.0초 / 마나소비 : 1100</t>
  </si>
  <si>
    <t xml:space="preserve">♣ 땅의계열마법 ♣ </t>
  </si>
  <si>
    <t>▨▨ 호크아이(hawkeyes) ▨▨</t>
  </si>
  <si>
    <t xml:space="preserve">자신보다 매너가 낮은 상대방의 인벤토리를 볼 수 있는 마법입니다. </t>
  </si>
  <si>
    <t>1레벨:● Manner:10  ◆ 마법책(호크아이) ※ 1000</t>
  </si>
  <si>
    <t>2레벨:● Manner:25  ◆ 마법책(호크아이) ※ 2700</t>
  </si>
  <si>
    <t>3레벨:● Manner:40  ◆ 마법책(호크아이) ※ 2900</t>
  </si>
  <si>
    <t>▨▨ 소 환(Recall) ▨▨ ★ 주문을 외우면 캐릭이 등장함</t>
  </si>
  <si>
    <t>주문 :대지의 지배자 그의 이름으로 명하노니 (캐릭명)을 이곳에 소환하라</t>
  </si>
  <si>
    <t xml:space="preserve">자신보다 낮은 매너의 캐릭을 자신이 있는 위치로 소환하는 주문입니다. </t>
  </si>
  <si>
    <t xml:space="preserve">1레벨:● Manner:31  </t>
  </si>
  <si>
    <t xml:space="preserve">        ◆ 13,000레블, 마법책(소환), 엘프족요정의씨앗류-상인밴드</t>
  </si>
  <si>
    <t xml:space="preserve">        ★ 스펠시간 : 2초 , 마나소비 : 5000</t>
  </si>
  <si>
    <t xml:space="preserve">         </t>
  </si>
  <si>
    <t>▨▨ 출 두(Appearance) ▨▨ ★ 빛의파문이 퍼지며 캐릭이 등장한다.</t>
  </si>
  <si>
    <t>주문 : 대지의 지배자 그의 이름으로 명하노니 나를 (캐릭명)에게 인도하라</t>
  </si>
  <si>
    <t>자신보다 낮은 매너의 캐릭이 있는곳으로 이동하는 마법 입니다.</t>
  </si>
  <si>
    <t xml:space="preserve">        ◆ 13,000레블, 마법책(소환), 각반4패(드래곤)</t>
  </si>
  <si>
    <t>♣ 물의 계열 마법 ♣</t>
  </si>
  <si>
    <t>▨▨ 힐 링(Healing) ▨▨</t>
  </si>
  <si>
    <t xml:space="preserve">체력을 복구하는 마법입니다. 자신뿐 아니라 다른 캐릭에도 사용할 수 </t>
  </si>
  <si>
    <t>있습니다.</t>
  </si>
  <si>
    <t xml:space="preserve">1레벨:●Int:50 / Wis:10, ◆ 300레블/마법책(힐링)/스콜러갑옷   </t>
  </si>
  <si>
    <t xml:space="preserve">      ★ 1000 / 스펠시간 : 0.8초 , 마나소비 : 50</t>
  </si>
  <si>
    <t xml:space="preserve">2레벨:●Int:100, Wis:20, ◆ 600레블/마법책(힐링)/밴디드 메일     </t>
  </si>
  <si>
    <t xml:space="preserve">      ★ 3000 / 스펠시간 : 0.8초 , 마나소비 : 250</t>
  </si>
  <si>
    <t xml:space="preserve">3레벨:●Int150 / Wis:30, ◆ 900레블/마법책(힐링)/체인 메일         </t>
  </si>
  <si>
    <t xml:space="preserve">      ★ 6000 / 스펠시간 : 0.8초 , 마나소비 : 400</t>
  </si>
  <si>
    <t xml:space="preserve">4레벨:●Int:200, Wis:40, ◆ 1200레블/마법책(힐링)/컴포지트 메일  </t>
  </si>
  <si>
    <t xml:space="preserve">      ★ 10000 / 스펠시간 : 0.8초 , 마나소비 : 500</t>
  </si>
  <si>
    <t xml:space="preserve">5레벨:●Int:250 / Wis:50, ◆ 1500레블/마법책(힐링)/스플린트메일   </t>
  </si>
  <si>
    <t xml:space="preserve">      ★ 15000 / 스펠시간 : 0.8초 , 마나소비 : 600</t>
  </si>
  <si>
    <t>6레벨:●Int:300 / Wis:60, ◆ 2000레블/마법책(힐링)/푸카셋-스톰갑옷</t>
  </si>
  <si>
    <t xml:space="preserve">      ★ 20000 / 스펠시간 : 0.8초 , 마나소비 : 650</t>
  </si>
  <si>
    <t xml:space="preserve">7레벨:●Int:350 / Wis:80, ◆ 4000레블/마법책(힐링)/필드아머       </t>
  </si>
  <si>
    <t xml:space="preserve">      ★ 25000 / 스펠시간 : 0.8초 , 마나소비 : 700</t>
  </si>
  <si>
    <t>▨▨ 블레싱(Blressing) ▨▨ -(지역마법)</t>
  </si>
  <si>
    <t>지역 힐링 마법으로 넓은 지역에 힐링효과를 줄수있습니다.</t>
  </si>
  <si>
    <t xml:space="preserve">1레벨:●Int: 265  ◆ 50,000레블 / 마법책(Blressing) / 앰버조각 </t>
  </si>
  <si>
    <t xml:space="preserve">        ★ 스펠시간 : 0.6초 / 마나소비 : 1,000</t>
  </si>
  <si>
    <t xml:space="preserve">2레벨:●Int: 285  ◆ 70,000레블 / 마법책(Blressing) / 패러도트조각 </t>
  </si>
  <si>
    <t xml:space="preserve">        ★ 스펠시간 : 0.6초 / 마나소비 : 1,300</t>
  </si>
  <si>
    <t xml:space="preserve">3레벨:●Int: 310  ◆ 100,000레블 / 마법책(Blressing) / 루틸조각 </t>
  </si>
  <si>
    <t xml:space="preserve">        ★ 스펠시간 : 0.6초 / 마나소비 : 1,700</t>
  </si>
  <si>
    <t xml:space="preserve">4레벨:●Int: 335  ◆ 150,000레블 / 마법책(Blressing) / 로즈쿼츠조각 </t>
  </si>
  <si>
    <t xml:space="preserve">        ★ 스펠시간 : 0.6초 / 마나소비 : 2,000</t>
  </si>
  <si>
    <t xml:space="preserve">5레벨:●Int: 360  ◆ 200,000레블 / 마법책(Blressing) / 사드조각 </t>
  </si>
  <si>
    <t xml:space="preserve">        ★ 스펠시간 : 0.6초 / 마나소비 : 2,400</t>
  </si>
  <si>
    <t xml:space="preserve">6레벨:●Int: 375  ◆ 250,000레블 / 마법책(Blressing) / 핑크사파이어조각 </t>
  </si>
  <si>
    <t xml:space="preserve">        ★ 스펠시간 : 0.6초 / 마나소비 : 2,800</t>
  </si>
  <si>
    <t>7레벨:●Int: 385  ◆ 300,000레블 / 마법책(Blressing) / 토멀린</t>
  </si>
  <si>
    <t xml:space="preserve">        ★ 스펠시간 : 0.6초 / 마나소비 : 3,000</t>
  </si>
  <si>
    <t>▨▨ 실 드(shield) ▨▨</t>
  </si>
  <si>
    <t>마법을 제거하거나, 물리적인 공격으로부터 자신을 보호하는 마법입니다.</t>
  </si>
  <si>
    <t xml:space="preserve">1레벨:●Dex: 233 ◆ 50,000레블 / 마법책(Shield)/ 프레이즈 </t>
  </si>
  <si>
    <t xml:space="preserve">        ★ Time 300 Second / 스펠시간 : 1.0초 / 마나소비 : 300</t>
  </si>
  <si>
    <t xml:space="preserve">2레벨:●Dex: 300 ◆ 100,000레블 / 마법책(Shield)/ 커닐리언 </t>
  </si>
  <si>
    <t xml:space="preserve">        ★ Time 600 Second / 스펠시간 : 1.0초 / 마나소비 : 500</t>
  </si>
  <si>
    <t xml:space="preserve">3레벨:●Dex: 340 ◆ 150,000레블 / 마법책(Shield)/ 밀키쿼츠 </t>
  </si>
  <si>
    <t xml:space="preserve">        ★ Time 900 Second / 스펠시간 : 1.0초 / 마나소비 : 700</t>
  </si>
  <si>
    <t xml:space="preserve">4레벨:●Dex: 400 ◆ 200,000레블 / 마법책(Shield)/ 토멀린 </t>
  </si>
  <si>
    <t xml:space="preserve">        ★ Time 1,200 Second / 스펠시간 : 1.0초 / 마나소비 : 900</t>
  </si>
  <si>
    <t xml:space="preserve">5레벨:●Dex: 450 ◆ 250,000레블 / 마법책(Shield)/ 핑크사파이어 </t>
  </si>
  <si>
    <t xml:space="preserve">        ★ Time 1,500 Second / 스펠시간 : 1.0초 / 마나소비 : 1,100</t>
  </si>
  <si>
    <t xml:space="preserve">6레벨:●Dex: 500 ◆ 300,000레블 / 마법책(Shield)/ 사드 </t>
  </si>
  <si>
    <t xml:space="preserve">        ★ Time 1,800 Second / 스펠시간 : 1.0초 / 마나소비 : 1,300</t>
  </si>
  <si>
    <t>7레벨:●Dex: 550 ◆ 350,000레블 / 마법책(Shield)/ 로즈쿼츠</t>
  </si>
  <si>
    <t xml:space="preserve">        ★ Time 2,100 Second / 스펠시간 : 1.0초 / 마나소비 : 1,500</t>
  </si>
  <si>
    <t>▨▨ 샤픈 웨폰 (Sharpen Weapon) ▨▨</t>
  </si>
  <si>
    <t>무기를 날카롭게 하여 공격력을 증가 시키는 마법입니다.</t>
  </si>
  <si>
    <t>1레벨:●Dex: 233 ◆ 30,000레블 / 마법책(Sharpen Weapon)</t>
  </si>
  <si>
    <t xml:space="preserve">         / 비드스트링</t>
  </si>
  <si>
    <t xml:space="preserve">2레벨:●Dex: 300 ◆ 50,000레블 / 마법책(Sharpen Weapon) </t>
  </si>
  <si>
    <t xml:space="preserve">         / 디어스트링</t>
  </si>
  <si>
    <t>3레벨:●Dex: 340 ◆ 80,000레블 / 마법책(Sharpen Weapon)</t>
  </si>
  <si>
    <t xml:space="preserve">         / 후드</t>
  </si>
  <si>
    <t>4레벨:●Dex: 400 ◆ 100,000레블 / 마법책(Sharpen Weapon)</t>
  </si>
  <si>
    <t>5레벨:●Dex: 450 ◆ 150,000레블 / 마법책(Sharpen Weapon)</t>
  </si>
  <si>
    <t xml:space="preserve">         / 바이올렛밴드</t>
  </si>
  <si>
    <t>6레벨:●Dex: 500 ◆ 200,000레블 / 마법책(Sharpen Weapon)</t>
  </si>
  <si>
    <t xml:space="preserve">         / 더블헤어넷</t>
  </si>
  <si>
    <t>7레벨:●Dex: 550 ◆ 300,000레블 / 마법책(Sharpen Weapon)</t>
  </si>
  <si>
    <t xml:space="preserve">         / 크리스마스모자(하프엘프)</t>
  </si>
  <si>
    <t xml:space="preserve">        ★ Time 2,100 Second / 스펠시간 : 1.0초 /마나소비 : 1,500     </t>
  </si>
  <si>
    <t>▨▨ 라 트 리(Latre) ▨▨</t>
  </si>
  <si>
    <t>라이프를 회복시킬 수 있는 마법으로, 한 번 익히면 자동적으로 마법이</t>
  </si>
  <si>
    <t>사용됩니다.</t>
  </si>
  <si>
    <t xml:space="preserve">1레벨:◆ 20,000레블 / 마법책(라트리)                 </t>
  </si>
  <si>
    <t>2레벨:◆ 23,000레블 / 마법책(라트리)</t>
  </si>
  <si>
    <t>3레벨:◆ 51,000레블 / 마법책(라트리)</t>
  </si>
  <si>
    <t>4레벨:◆ 73,000레블 / 마법책(라트리)</t>
  </si>
  <si>
    <t>▨▨ 마 테 르(Mater) ▨▨</t>
  </si>
  <si>
    <t xml:space="preserve">마나를 회복시킬 수 있는 마법으로, 한 번 익히면 자동적으로 마법이 </t>
  </si>
  <si>
    <t xml:space="preserve">1레벨:◆ 20,000레블 / 마법책(마테르)                 </t>
  </si>
  <si>
    <t>2레벨:◆ 27.000레블 / 마법책(마테르)</t>
  </si>
  <si>
    <t>3레벨:◆ 65,000레블 / 마법책(마테르)</t>
  </si>
  <si>
    <t>4레벨:◆ 83,500레블 / 마법책(마테르)</t>
  </si>
  <si>
    <t>▨▨ 스피리스(Spris) ▨▨</t>
  </si>
  <si>
    <t>스테미나를 회복시킬 수 있는 마법으로, 한 번 익히면 자동적으로 마법이</t>
  </si>
  <si>
    <t xml:space="preserve">1레벨:◆ 20,000레블 / 마법책(스피리스)   </t>
  </si>
  <si>
    <t>2레벨:◆ 31,000레블 / 마법책(스피리스)</t>
  </si>
  <si>
    <t xml:space="preserve">3레벨:◆ 58,000레블 / 마법책(스프리스) </t>
  </si>
  <si>
    <t xml:space="preserve">4레벨:◆ 77,000레블 / 마법책(스프리스)       </t>
  </si>
  <si>
    <t>▨▨ 포이즌(Poison) ▨▨</t>
  </si>
  <si>
    <t>적에게 독을 걸어 지속적으로 데미지를 입힌다.</t>
  </si>
  <si>
    <t>1레벨:●Int: 279 ◆ 90,000레블 / 마법책(Poison)</t>
  </si>
  <si>
    <t xml:space="preserve">        ★ Time 10 Second / 스펠시간 : 1.0초 / 마나소비 : 2,000</t>
  </si>
  <si>
    <t>2레벨:●Int: 304 ◆ 180,000레블 / 마법책(Poison)</t>
  </si>
  <si>
    <t xml:space="preserve">        ★ Time 20 Second / 스펠시간 : 1.0초 / 마나소비 : 2,500</t>
  </si>
  <si>
    <t>3레벨:●Int: 329 ◆ 27,000레블 / 마법책(Poison)</t>
  </si>
  <si>
    <t xml:space="preserve">        ★ Time 30 Second / 스펠시간 : 1.0초 / 마나소비 : 3,000</t>
  </si>
  <si>
    <t>▨▨ 프로즌(Frozen) ▨▨</t>
  </si>
  <si>
    <t>적을 얼가버린다!! 꽁꽁!!</t>
  </si>
  <si>
    <t>1레벨:●Int: 310 ◆ 100,000레블 / 마법책(Frozen) / 표정석(트림)</t>
  </si>
  <si>
    <t xml:space="preserve">        ★ Time 20 Second / 스펠시간 : 3.0초 / 마나소비 : 2,000</t>
  </si>
  <si>
    <t>2레벨:●Int: 410 ◆ 200,000레블 / 마법책(Frozen) / 표정셕(울음)</t>
  </si>
  <si>
    <t xml:space="preserve">        ★ Time 20 Second / 스펠시간 : 3.0초 / 마나소비 : 2,500</t>
  </si>
  <si>
    <t>3레벨:●Int: 510 ◆ 300,000레블 / 마법책(Frozen) / 표정석(하품)</t>
  </si>
  <si>
    <t xml:space="preserve">        ★ Time 20 Second / 스펠시간 : 3.0초 / 마나소비 : 3,000</t>
  </si>
  <si>
    <t>4레벨:●Int: 610 ◆ 400,000레블 / 마법책(Frozen) / 표정석(방귀)</t>
  </si>
  <si>
    <t xml:space="preserve">        ★ Time 20 Second / 스펠시간 : 3.0초 / 마나소비 : 3,500</t>
  </si>
  <si>
    <t>▨▨ 디스펠(Dispel) ▨▨</t>
  </si>
  <si>
    <t>1레벨:●Int: 600 ◆ 600,000레블 / 마법책(Dispel)</t>
  </si>
  <si>
    <t xml:space="preserve">        ★ Damage: 1,000~1 / 스펠시간 : 0.8초 / 마나소비 : 3,000</t>
  </si>
  <si>
    <t>▨▨ 인비지빌티(Invisibilty) ▨▨</t>
  </si>
  <si>
    <t>투명하게!</t>
  </si>
  <si>
    <t>1레벨:●Int: 585 ◆ 300,000레블 / 마법책(Invisibilty)</t>
  </si>
  <si>
    <t xml:space="preserve">        ★ Time: 5.0 Second / 스펠시간 : 0.8초 / 마나소비 : 20,000</t>
  </si>
  <si>
    <t>2레벨:●Int: 585 ◆ 600,000레블 / 마법책(Invisibilty)</t>
  </si>
  <si>
    <t xml:space="preserve">        ★ Time: 10 Second / 스펠시간 : 0.8초 / 마나소비 : 30,000</t>
  </si>
  <si>
    <t>♣ 힘의 계열 기술 ♣ By. AngelCat</t>
  </si>
  <si>
    <t>▨▨ 칼 공격 (Sword Attack) ▨▨</t>
  </si>
  <si>
    <t>칼의 기본 공격 이다.</t>
  </si>
  <si>
    <t>1레벨: ★Damage: 1 - 1</t>
  </si>
  <si>
    <t>▨▨ 활 공격 (Bow Attack) ▨▨</t>
  </si>
  <si>
    <t>활로 화살을 쏠수있어!! 쏠수있어</t>
  </si>
  <si>
    <t>1레벨: ★Damage: 1 - 4,000</t>
  </si>
  <si>
    <t>▨▨ 아이언보우 (Iron Bow) ▨▨</t>
  </si>
  <si>
    <t xml:space="preserve">화살을 강력한 철로 변환화여 쏜다! 쏠수있어! </t>
  </si>
  <si>
    <t>1레벨:● lev:20 / Dex:139 ◆마법책(아이언보우)</t>
  </si>
  <si>
    <t xml:space="preserve">         ★ Damage: 800~1,200 / 마나소비 : 100</t>
  </si>
  <si>
    <t>2레벨:● lev:25 / Dex:162 ◆마법책(아이언보우)</t>
  </si>
  <si>
    <t xml:space="preserve">         ★ Damage: 960~1,440 / 마나소비 : 100</t>
  </si>
  <si>
    <t>3레벨:● lev:30 / Dex:184 ◆마법책(아이언보우)</t>
  </si>
  <si>
    <t xml:space="preserve">         ★ Damage: 1,120~1,680 / 마나소비 : 100</t>
  </si>
  <si>
    <t>4레벨:● lev:35 / Dex:207 ◆마법책(아이언보우)</t>
  </si>
  <si>
    <t xml:space="preserve">         ★ Damage: 1,280~1,920 / 마나소비 : 100</t>
  </si>
  <si>
    <t>5레벨:● lev:40 / Dex:229 ◆마법책(아이언보우)</t>
  </si>
  <si>
    <t xml:space="preserve">         ★ Damage: 1,440~2,160 / 마나소비 : 100</t>
  </si>
  <si>
    <t>6레벨:● lev:45 / Dex:252 ◆마법책(아이언보우)</t>
  </si>
  <si>
    <t xml:space="preserve">         ★ Damage: 1,600~2,400 / 마나소비 : 100</t>
  </si>
  <si>
    <t>7레벨:● lev:50 / Dex:274 ◆마법책(아이언보우)</t>
  </si>
  <si>
    <t xml:space="preserve">         ★ Damage: 1,760~2,640 / 마나소비 : 100</t>
  </si>
  <si>
    <t>8레벨:● lev:55 / Dex:297 ◆마법책(아이언보우)</t>
  </si>
  <si>
    <t xml:space="preserve">         ★ Damage: 1,920~2,880 / 마나소비 : 100</t>
  </si>
  <si>
    <t>9레벨:● lev:60 / Dex:319 ◆마법책(아이언보우)</t>
  </si>
  <si>
    <t xml:space="preserve">         ★ Damage: 2,080,~3,120 /  마나소비 : 100</t>
  </si>
  <si>
    <t>10레벨:● lev:65 / Dex:342 ◆마법책(아이언보우)</t>
  </si>
  <si>
    <t xml:space="preserve">         ★ Damage: 2,240~3,360 / 마나소비 : 100</t>
  </si>
  <si>
    <t>11레벨:● lev:70 / Dex:364 ◆마법책(아이언보우)</t>
  </si>
  <si>
    <t xml:space="preserve">         ★ Damage: 2,400~3,600 / 마나소비 : 100</t>
  </si>
  <si>
    <t>12레벨:● lev:75 / Dex:387 ◆마법책(아이언보우)</t>
  </si>
  <si>
    <t xml:space="preserve">         ★ Damage: 2,560~3,840 /  마나소비 : 100</t>
  </si>
  <si>
    <t>13레벨:● lev:80 / Dex:409 ◆마법책(아이언보우)</t>
  </si>
  <si>
    <t xml:space="preserve">         ★ Damage: 2,720~4,080 / 마나소비 : 100</t>
  </si>
  <si>
    <t>▨▨ 석궁 공격 (CrossBow Attack) ▨▨</t>
  </si>
  <si>
    <t>석궁으로 화살을 쏠수있어!! 쏠수있어</t>
  </si>
  <si>
    <t>▨▨ 아이언 크로스보우 (CrossBow  Bow) ▨▨</t>
  </si>
  <si>
    <t>1레벨:● lev:20 / Dex:139 ◆마법책(아이언크로스보우)</t>
  </si>
  <si>
    <t xml:space="preserve">         ★ Damage: 880~1,320 / 마나소비 : 100</t>
  </si>
  <si>
    <t>2레벨:● lev:25 / Dex:162 ◆마법책(아이언크로스보우)</t>
  </si>
  <si>
    <t xml:space="preserve">         ★ Damage: 1,040~1,560 / 마나소비 : 100</t>
  </si>
  <si>
    <t>3레벨:● lev:30 / Dex:184 ◆마법책(아이언크로스보우)</t>
  </si>
  <si>
    <t xml:space="preserve">         ★ Damage: 1,200~1,800 / 마나소비 : 100</t>
  </si>
  <si>
    <t xml:space="preserve">         ★ Damage: 1,360~2,040 / 마나소비 : 100</t>
  </si>
  <si>
    <t>5레벨:● lev:40 / Dex:229 ◆마법책(아이언크로스보우)</t>
  </si>
  <si>
    <t xml:space="preserve">         ★ Damage: 1,520~2,280 / 마나소비 : 100</t>
  </si>
  <si>
    <t>6레벨:● lev:45 / Dex:252 ◆마법책(아이언크로스보우)</t>
  </si>
  <si>
    <t xml:space="preserve">         ★ Damage: 1,680~2,520 / 마나소비 : 100</t>
  </si>
  <si>
    <t>7레벨:● lev:50 / Dex:274 ◆마법책(아이언크로스보우)</t>
  </si>
  <si>
    <t xml:space="preserve">         ★ Damage: 1,840~2,760 / 마나소비 : 100</t>
  </si>
  <si>
    <t>8레벨:● lev:55 / Dex:297 ◆마법책(아이언크로스보우)</t>
  </si>
  <si>
    <t xml:space="preserve">         ★ Damage: 2,000~3,000 / 마나소비 : 100</t>
  </si>
  <si>
    <t>9레벨:● lev:60 / Dex:319 ◆마법책(아이언크로스보우)</t>
  </si>
  <si>
    <t xml:space="preserve">         ★ Damage: 2,160,~3,240 /  마나소비 : 100</t>
  </si>
  <si>
    <t>10레벨:● lev:65 / Dex:342 ◆마법책(아이언크로스보우)</t>
  </si>
  <si>
    <t xml:space="preserve">         ★ Damage: 2,320~3,480 / 마나소비 : 100</t>
  </si>
  <si>
    <t>11레벨:● lev:70 / Dex:364 ◆마법책(아이언크로스보우)</t>
  </si>
  <si>
    <t xml:space="preserve">         ★ Damage: 2,480~3,720 / 마나소비 : 100</t>
  </si>
  <si>
    <t>12레벨:● lev:75 / Dex:387 ◆마법책(아이언크로스보우)</t>
  </si>
  <si>
    <t xml:space="preserve">         ★ Damage: 2,640~3,960 /  마나소비 : 100</t>
  </si>
  <si>
    <t>13레벨:● lev:80 / Dex:409 ◆마법책(아이언크로스보우)</t>
  </si>
  <si>
    <t xml:space="preserve">         ★ Damage: 2,800~4,200 / 마나소비 : 100</t>
  </si>
  <si>
    <t>▨▨ 파워어택 (Power Attack) ▨▨</t>
  </si>
  <si>
    <t xml:space="preserve">기를모아 온힘을 다해 내려 친다!!! </t>
  </si>
  <si>
    <t>1레벨:● lev:80 ◆마법책(파워어택)</t>
  </si>
  <si>
    <t xml:space="preserve">         ★ 자신의 피의량 x1.8의 순간 공격력을 같는다. </t>
  </si>
  <si>
    <t xml:space="preserve">             스킬시간 : 3.0초 , 마나소비 : 100</t>
  </si>
  <si>
    <t>2레벨:● lev:85 ◆마법책(파워어택)</t>
  </si>
  <si>
    <t xml:space="preserve">         ★ 자신의 피의량 x2.6의 순간 공격력을 같는다. </t>
  </si>
  <si>
    <t xml:space="preserve">             스킬시간 : 4.0초 , 마나소비 : 100</t>
  </si>
  <si>
    <t>3레벨:● lev:90 ◆마법책(파워어택)</t>
  </si>
  <si>
    <t xml:space="preserve">         ★ 자신의 피의량 x3.4의 순간 공격력을 같는다. </t>
  </si>
  <si>
    <t xml:space="preserve">             스킬시간 : 5.0초 , 마나소비 : 100</t>
  </si>
  <si>
    <t>4레벨:● lev:95 ◆마법책(파워어택)</t>
  </si>
  <si>
    <t xml:space="preserve">         ★ 자신의 피의량 x4.2의 순간 공격력을 같는다. </t>
  </si>
  <si>
    <t xml:space="preserve">             스킬시간 : 6.0초 , 마나소비 : 100</t>
  </si>
  <si>
    <t>5레벨:● lev:100 ◆마법책(파워어택)</t>
  </si>
  <si>
    <t xml:space="preserve">         ★ 자신의 피의량 x5.0의 순간 공격력을 같는다. </t>
  </si>
  <si>
    <t xml:space="preserve">             스킬시간 : 7.0초 , 마나소비 : 100</t>
  </si>
  <si>
    <t>6레벨:● lev:105 ◆마법책(파워어택)</t>
  </si>
  <si>
    <t xml:space="preserve">         ★ 자신의 피의량 x5.8의 순간 공격력을 같는다. </t>
  </si>
  <si>
    <t xml:space="preserve">             스킬시간 : 8.0초 , 마나소비 : 100</t>
  </si>
  <si>
    <t>7레벨:● lev:110 ◆마법책(파워어택)</t>
  </si>
  <si>
    <t xml:space="preserve">         ★ 자신의 피의량 x6.6의 순간 공격력을 같는다. </t>
  </si>
  <si>
    <t xml:space="preserve">             스킬시간 : 9.0초 , 마나소비 : 100</t>
  </si>
  <si>
    <t>▨▨ 발차기 (Kicking) ▨▨</t>
  </si>
  <si>
    <t>공룡이 발로찬다!</t>
  </si>
  <si>
    <t>1레벨:● lev:60 / Con:319 ◆무예지-행동편</t>
  </si>
  <si>
    <t xml:space="preserve">        ★ Damage: 1,760~2,640 / 스테미나 소비 : 100</t>
  </si>
  <si>
    <t>2레벨:● lev:65 / Con:342 ◆무예지-행동편</t>
  </si>
  <si>
    <t xml:space="preserve">        ★ Damage: 1,920~2,880 / 스테미나 소비 : 100</t>
  </si>
  <si>
    <t>3레벨:● lev:70 / Con:364 ◆무예지-행동편</t>
  </si>
  <si>
    <t xml:space="preserve">        ★ Damage: 2,080~3,120 / 스테미나 소비 : 100</t>
  </si>
  <si>
    <t>4레벨:● lev:75 / Con:387 ◆무예지-행동편</t>
  </si>
  <si>
    <t xml:space="preserve">        ★ Damage: 2,240~3,360 / 스테미나 소비 : 100</t>
  </si>
  <si>
    <t>▨▨ 돌려차기 (Spinning Kick) ▨▨</t>
  </si>
  <si>
    <t>공룡이 돌려차기를 찬다!</t>
  </si>
  <si>
    <t xml:space="preserve">             </t>
  </si>
  <si>
    <t>1레벨:● lev:80 / Con:409 ◆무예지-기운편</t>
  </si>
  <si>
    <t xml:space="preserve">        ★ Damage: 2,400~3,600 / 스테미나 소비 : 100</t>
  </si>
  <si>
    <t>2레벨:● lev:85 / Con:432 ◆무예지-기운편</t>
  </si>
  <si>
    <t xml:space="preserve">        ★ Damage: 2,560~3,840 / 스테미나 소비 : 100</t>
  </si>
  <si>
    <t>3레벨:● lev:90 / Con:454 ◆무예지-기운편</t>
  </si>
  <si>
    <t xml:space="preserve">        ★ Damage: 2,720~4,080 / 스테미나 소비 : 100</t>
  </si>
  <si>
    <t>4레벨:● lev:95 / Con:477 ◆무예지-기운편</t>
  </si>
  <si>
    <t xml:space="preserve">        ★ Damage: 2,880~4,320 / 스테미나 소비 : 100</t>
  </si>
  <si>
    <t>▨▨ 두손공격(Two-Handed Attack) ▨▨</t>
  </si>
  <si>
    <t>공룡이 양손으로 으쌰!으쌰! 때린다!</t>
  </si>
  <si>
    <t>1레벨:● lev:20 / Con:139 ◆무예지-천공편(기본)</t>
  </si>
  <si>
    <t xml:space="preserve">        ★ Damage: 480~720 / 스테미나 소비 : 310</t>
  </si>
  <si>
    <t>2레벨:● lev:25 / Con:162 ◆무예지-천공편(전)</t>
  </si>
  <si>
    <t xml:space="preserve">        ★ Damage: 640~960 / 스테미나 소비 : 350</t>
  </si>
  <si>
    <t>3레벨:● lev:30 / Con:184 ◆무예지-천공편(후)</t>
  </si>
  <si>
    <t xml:space="preserve">        ★ Damage: 800~1,200 / 스테미나 소비 : 390</t>
  </si>
  <si>
    <t>4레벨:● lev:35 / Con:207 ◆무예지-천공편(후)</t>
  </si>
  <si>
    <t xml:space="preserve">        ★ Damage: 960~1,440 / 스테미나 소비 : 390</t>
  </si>
  <si>
    <t>5레벨:● lev:40 / Con:229 ◆무예지-천공편(후)</t>
  </si>
  <si>
    <t xml:space="preserve">        ★ Damage: 1,120~1,680 / 스테미나 소비 : 390</t>
  </si>
  <si>
    <t>6레벨:● lev:45 / Con:252 ◆무예지-천공편(후)</t>
  </si>
  <si>
    <t xml:space="preserve">        ★ Damage: 1,280~1.920 / 스테미나 소비 : 390</t>
  </si>
  <si>
    <t>7레벨:● lev:50 / Con:274 ◆무예지-천공편(후)</t>
  </si>
  <si>
    <t xml:space="preserve">        ★ Damage: 1,440~2,160 / 스테미나 소비 : 390</t>
  </si>
  <si>
    <t>8레벨:● lev:55 / Con:297 ◆무예지-천공편(후)</t>
  </si>
  <si>
    <t xml:space="preserve">        ★ Damage: 1,600~2,400 / 스테미나 소비 : 390</t>
  </si>
  <si>
    <t>▨▨ 뛰어돌려차기(Jump-Spinning Kick) ▨▨</t>
  </si>
  <si>
    <t>공룡이 으쌰! 뛰어 돌려차기를 찬다!</t>
  </si>
  <si>
    <t>1레벨:● lev:100 / Con:499 ◆무예지-무극편(기본)</t>
  </si>
  <si>
    <t xml:space="preserve">        ★ Damage: 3,040~4,560 / 스테미나 소비 : 200</t>
  </si>
  <si>
    <t>2레벨:● lev:105 / Con:522 ◆무예지-무극편(전)</t>
  </si>
  <si>
    <t xml:space="preserve">        ★ Damage: 3,200~4,800 / 스테미나 소비 : 200</t>
  </si>
  <si>
    <t>3레벨:● lev:110 / Con:544 ◆무예지-무극편(후)</t>
  </si>
  <si>
    <t xml:space="preserve">        ★ Damage: 3,360~5,040 / 스테미나 소비 : 200</t>
  </si>
  <si>
    <t>4레벨:● lev:115 / Con:567 ◆무예지-무극편(후)</t>
  </si>
  <si>
    <t xml:space="preserve">        ★ Damage: 3,520~5,280 / 스테미나 소비 : 200</t>
  </si>
  <si>
    <t>젬소켓</t>
    <phoneticPr fontId="5" type="noConversion"/>
  </si>
  <si>
    <t>세공기술</t>
  </si>
  <si>
    <t>3단</t>
  </si>
  <si>
    <t>젬스톤+금괴 + 은괴 + 플레티움괴 + 철괴 + 구리괴</t>
  </si>
  <si>
    <t>방어구(소켓1)</t>
  </si>
  <si>
    <t>판금기술</t>
  </si>
  <si>
    <t>1단</t>
  </si>
  <si>
    <t>방어구 + 젬소켓</t>
  </si>
  <si>
    <t>방어구(소켓2)</t>
  </si>
  <si>
    <t>2단</t>
  </si>
  <si>
    <t>방어구(소켓1) + 젬소켓</t>
  </si>
  <si>
    <t>방어구(소켓3)</t>
  </si>
  <si>
    <t>방어구(소켓2) + 젬소켓</t>
  </si>
  <si>
    <t>무기(소켓1)</t>
  </si>
  <si>
    <t>제련기술</t>
  </si>
  <si>
    <t>무기 + 젬소켓</t>
  </si>
  <si>
    <t>무기(소켓2)</t>
  </si>
  <si>
    <t>무기(소켓1) + 젬소켓</t>
  </si>
  <si>
    <t>무기(소켓3)</t>
  </si>
  <si>
    <t>무기(소켓2) + 젬소켓</t>
  </si>
  <si>
    <t>판금기술서 P3 + 오크산타모자</t>
  </si>
  <si>
    <t>꼬깔모자</t>
  </si>
  <si>
    <t>기본기술</t>
  </si>
  <si>
    <t>판금기술서 P3 + 산타모자</t>
  </si>
  <si>
    <t>판금기술서 P2 + 오크산타모자</t>
  </si>
  <si>
    <t>판금기술서 P1 + 오크산타모자</t>
  </si>
  <si>
    <t>오크산타옷</t>
  </si>
  <si>
    <t>판금기술서 P2 + 오크산타옷</t>
  </si>
  <si>
    <t>산타옷</t>
  </si>
  <si>
    <t>판금기술서 P1 + 오크산타옷</t>
  </si>
  <si>
    <t>오크산타모자</t>
  </si>
  <si>
    <t>판금기술서 P2 + 산타옷</t>
  </si>
  <si>
    <t>판금기술서 P1 + 산타옷</t>
  </si>
  <si>
    <t>판금기술서 P2 + 산타모자</t>
  </si>
  <si>
    <t>판금기술서 P1 + 산타모자</t>
  </si>
  <si>
    <t>염색약 + 뼈가루(7) + 우유</t>
  </si>
  <si>
    <t>응가</t>
  </si>
  <si>
    <t>대량의힐링포션  + 소량의힐링포션 + 중량의힐링포션</t>
  </si>
  <si>
    <t>초대량의힐링포션</t>
  </si>
  <si>
    <t>갈비 (3)</t>
  </si>
  <si>
    <t>대량의힐링포션</t>
  </si>
  <si>
    <t>새알 (3)</t>
  </si>
  <si>
    <t>마나초 (5)</t>
  </si>
  <si>
    <t>꽃다발</t>
  </si>
  <si>
    <t>도라지꽃 (5)</t>
  </si>
  <si>
    <t>혈초 (5)</t>
  </si>
  <si>
    <t>우유  + 초콜렛TM</t>
  </si>
  <si>
    <t>쵸코우유</t>
  </si>
  <si>
    <t>작은가죽 (9)</t>
  </si>
  <si>
    <t>큰가죽</t>
  </si>
  <si>
    <t>제본기술서 P1~P8 + 큰가죽</t>
  </si>
  <si>
    <t>제본기술서</t>
  </si>
  <si>
    <t>보물상자 + 열쇠</t>
  </si>
  <si>
    <t>로즈쿼츠조작</t>
  </si>
  <si>
    <t>단철부츠</t>
  </si>
  <si>
    <t>마법책 (라트리)</t>
  </si>
  <si>
    <t>마법책 (마테르)</t>
  </si>
  <si>
    <t>1000레블</t>
  </si>
  <si>
    <t>500레블</t>
  </si>
  <si>
    <t>100레블</t>
  </si>
  <si>
    <t>상인조합벨드</t>
  </si>
  <si>
    <t>망고슈</t>
  </si>
  <si>
    <t>윌스태프</t>
  </si>
  <si>
    <t>샤브르</t>
  </si>
  <si>
    <t>표정석 (윙크)</t>
  </si>
  <si>
    <t>비월 3갑</t>
  </si>
  <si>
    <t>핑크패러도트</t>
  </si>
  <si>
    <t>원더햇</t>
  </si>
  <si>
    <t>블루문글로브</t>
  </si>
  <si>
    <t>성운의 목걸이</t>
  </si>
  <si>
    <t>낡은레드큐빅거들</t>
  </si>
  <si>
    <t>그레이로브</t>
  </si>
  <si>
    <t>각반 1패</t>
  </si>
  <si>
    <t>마력의돌 + 두루마리 + 마법진(Retern-Home)</t>
  </si>
  <si>
    <t>Retern-Home(귀한스크롤)</t>
  </si>
  <si>
    <t>세공기술서 P6 + 세공기술서 + 다이아몬드</t>
  </si>
  <si>
    <t>크리샤오르셋-비쥬스태프</t>
  </si>
  <si>
    <t>프레이즈 + 세공기술서</t>
  </si>
  <si>
    <t>성운의목걸이</t>
  </si>
  <si>
    <t>밀키쿼츠 + 세공기술서</t>
  </si>
  <si>
    <t>마처의목걸이</t>
  </si>
  <si>
    <t>커닐리언 + 세공기술서</t>
  </si>
  <si>
    <t>가고일목걸이</t>
  </si>
  <si>
    <t>캣츠아이  + 세공기술서</t>
  </si>
  <si>
    <t>캣츠아이목걸이</t>
  </si>
  <si>
    <t>플레이트메일 + 세공기술서</t>
  </si>
  <si>
    <t>로즈쿼츠목걸이</t>
  </si>
  <si>
    <t>패러도트 + 세공기술서</t>
  </si>
  <si>
    <t>패러도트목걸이</t>
  </si>
  <si>
    <t>아멧 + 여자컴포지트메일 + 수호의링</t>
  </si>
  <si>
    <t>드라곤의눈물</t>
  </si>
  <si>
    <t>토멀린앰버</t>
  </si>
  <si>
    <t>커닐리언</t>
  </si>
  <si>
    <t>핑크사파이어 + 사드 + 로즈쿼츠 + 패러도트</t>
  </si>
  <si>
    <t>다이아몬드</t>
  </si>
  <si>
    <t>루틸 + 문스톤</t>
  </si>
  <si>
    <t>패러도트</t>
  </si>
  <si>
    <t>토멀린조각 + 앰버조각</t>
  </si>
  <si>
    <t>커닐리언조각</t>
  </si>
  <si>
    <t>핑크사파이어조각 + 사드조각 + 로즈쿼츠조각＋패러도트조각</t>
  </si>
  <si>
    <t>다이아몬드조각</t>
  </si>
  <si>
    <t>루틸조각 + 문스톤조각</t>
  </si>
  <si>
    <t>패러도트조각</t>
  </si>
  <si>
    <t>돌 + 돌(2)</t>
  </si>
  <si>
    <t>보석광석</t>
  </si>
  <si>
    <t>사드조각(2) + 철괴(6)</t>
  </si>
  <si>
    <t>보물상자</t>
  </si>
  <si>
    <t>은괴(6) + 다이아몬드조각(2)</t>
  </si>
  <si>
    <t>수호의링</t>
  </si>
  <si>
    <t>커닐리언조각(2) + 구리괴(6)</t>
  </si>
  <si>
    <t>패러도트조각(2) + 플래티움괴(6)</t>
  </si>
  <si>
    <t>불의링</t>
  </si>
  <si>
    <t>패러도트조각 + 금괴(6)</t>
  </si>
  <si>
    <t>유성의링</t>
  </si>
  <si>
    <t>돌(2) + 돌</t>
  </si>
  <si>
    <t>사드조각(9)</t>
  </si>
  <si>
    <t>사드</t>
  </si>
  <si>
    <t>다이아몬드조각(9)</t>
  </si>
  <si>
    <t>커닐리언조각(9)</t>
  </si>
  <si>
    <t>패러도트조각(9)</t>
  </si>
  <si>
    <t>세공기술서 P7 + 보석광석(5)</t>
  </si>
  <si>
    <t>사드조각</t>
  </si>
  <si>
    <t>세공기술서 P8 + 보석광석(5)</t>
  </si>
  <si>
    <t>세공기술서 P6 + 보석광석(5)</t>
  </si>
  <si>
    <t>세공기술서 P5 + 보석광석(5)</t>
  </si>
  <si>
    <t>젬스톤 + 철괴 + 은괴 + 구리괴 + 플래티움괴 + 금괴</t>
  </si>
  <si>
    <t>젬소켓</t>
  </si>
  <si>
    <t>앰버조각철괴(4)</t>
  </si>
  <si>
    <t>모조수호의링</t>
  </si>
  <si>
    <t>앰버조각(2) + 은괴(4)</t>
  </si>
  <si>
    <t>모조대지의링</t>
  </si>
  <si>
    <t>핑크사파이어조각(2) + 구리괴(4)</t>
  </si>
  <si>
    <t>모조불의링</t>
  </si>
  <si>
    <t>루틸조각(2) + 플래티움괴(4)</t>
  </si>
  <si>
    <t>모조유성의링</t>
  </si>
  <si>
    <t>밀키쿼츠조각(2) + 금괴(4)</t>
  </si>
  <si>
    <t>핑크사파이어조각(8)</t>
  </si>
  <si>
    <t>핑크사파이어</t>
  </si>
  <si>
    <t>루틸조각(8)</t>
  </si>
  <si>
    <t>루틸</t>
  </si>
  <si>
    <t>밀키쿼츠조각(8)</t>
  </si>
  <si>
    <t>밀키쿼츠</t>
  </si>
  <si>
    <t>앰버조각(8)</t>
  </si>
  <si>
    <t>앰버</t>
  </si>
  <si>
    <t>세공기술서 P4 + 보석광석(4)</t>
  </si>
  <si>
    <t>핑크사파이어조각</t>
  </si>
  <si>
    <t>세공기술서 P3 + 보석광석(4)</t>
  </si>
  <si>
    <t>루틸조각</t>
  </si>
  <si>
    <t>세공기술서 P2 + 보석광석(4)</t>
  </si>
  <si>
    <t>밀키쿼츠조각</t>
  </si>
  <si>
    <t>세공기술서 P1 + 보석광석(4)</t>
  </si>
  <si>
    <t>앰버조각</t>
  </si>
  <si>
    <t>로즈쿼츠조각철괴(2)</t>
  </si>
  <si>
    <t>마처의링</t>
  </si>
  <si>
    <t>프레이즈조각 + 금괴(2)</t>
  </si>
  <si>
    <t>모조조합의링</t>
  </si>
  <si>
    <t>토멀린조각 + 구리괴(2)</t>
  </si>
  <si>
    <t>정념의링</t>
  </si>
  <si>
    <t>루틸조각 금괴(2)</t>
  </si>
  <si>
    <t>희생의링</t>
  </si>
  <si>
    <t>로즈쿼츠조각(7)</t>
  </si>
  <si>
    <t>로즈쿼츠</t>
  </si>
  <si>
    <t>프레이즈조각(7)</t>
  </si>
  <si>
    <t>프레이즈</t>
  </si>
  <si>
    <t>토멀린조각(7)</t>
  </si>
  <si>
    <t>토멀린</t>
  </si>
  <si>
    <t>루틸조각(7)</t>
  </si>
  <si>
    <t>문스톤조각(7)</t>
  </si>
  <si>
    <t>문스톤</t>
  </si>
  <si>
    <t>세공기술서 P5 + 보석광석(3)</t>
  </si>
  <si>
    <t>로즈쿼츠조각</t>
  </si>
  <si>
    <t>세공기술서 P4 + 보석광석(3)</t>
  </si>
  <si>
    <t>프레이즈조각</t>
  </si>
  <si>
    <t>세공기술서 P3 + 보석광석(3)</t>
  </si>
  <si>
    <t>토멀린조각</t>
  </si>
  <si>
    <t>세공기술서 P2 + 보석광석(3)</t>
  </si>
  <si>
    <t>세공기술서 P1 + 보석광석(3)</t>
  </si>
  <si>
    <t>문스톤조각</t>
  </si>
  <si>
    <t>마법진갯수에 따라 단수결정</t>
  </si>
  <si>
    <t>마력의돌 + 두루마리 + 마법진(Shrpen Weapon)(7)</t>
  </si>
  <si>
    <t>Shrpen Weapon(공업스크롤)7단</t>
  </si>
  <si>
    <t>화공기술</t>
  </si>
  <si>
    <t>마력의돌 + 두루마리 + 마법진(Shrpen Weapon)(5)</t>
  </si>
  <si>
    <t>Shrpen Weapon(공업스크롤)5단</t>
  </si>
  <si>
    <r>
      <t xml:space="preserve">크리샤오르셋 - 비쥬햇 +화공기술서 + </t>
    </r>
    <r>
      <rPr>
        <sz val="11"/>
        <color rgb="FFFF0000"/>
        <rFont val="맑은 고딕"/>
        <family val="3"/>
        <charset val="129"/>
      </rPr>
      <t>온혈</t>
    </r>
  </si>
  <si>
    <t>크리샤오르셋 - 비쥬로브</t>
  </si>
  <si>
    <r>
      <t xml:space="preserve">크리샤오르셋 - 비쥬햇 + 화공기술서 + </t>
    </r>
    <r>
      <rPr>
        <sz val="11"/>
        <color rgb="FF0000FF"/>
        <rFont val="맑은 고딕"/>
        <family val="3"/>
        <charset val="129"/>
      </rPr>
      <t>냉혈</t>
    </r>
  </si>
  <si>
    <t>크리샤오르셋 - 비쥬스태프</t>
  </si>
  <si>
    <r>
      <t xml:space="preserve">크리샤오르셋 - 비쥬로브 + 화공기술서 + </t>
    </r>
    <r>
      <rPr>
        <sz val="11"/>
        <color rgb="FFFF0000"/>
        <rFont val="맑은 고딕"/>
        <family val="3"/>
        <charset val="129"/>
      </rPr>
      <t>온혈</t>
    </r>
  </si>
  <si>
    <t>크리샤오르셋 - 비쥬햇</t>
  </si>
  <si>
    <r>
      <t xml:space="preserve">크리샤오르셋 - 비쥬로브 + 화공기술서 + </t>
    </r>
    <r>
      <rPr>
        <sz val="11"/>
        <color rgb="FF0000FF"/>
        <rFont val="맑은 고딕"/>
        <family val="3"/>
        <charset val="129"/>
      </rPr>
      <t>냉혈</t>
    </r>
  </si>
  <si>
    <r>
      <t xml:space="preserve">크리샤오르셋 - 비쥬스태프+ 화공기술서 + </t>
    </r>
    <r>
      <rPr>
        <sz val="11"/>
        <color rgb="FFFF0000"/>
        <rFont val="맑은 고딕"/>
        <family val="3"/>
        <charset val="129"/>
      </rPr>
      <t>온혈</t>
    </r>
  </si>
  <si>
    <r>
      <t xml:space="preserve">크리샤오르셋 - 비쥬스태프 + 화공기술서 + </t>
    </r>
    <r>
      <rPr>
        <sz val="11"/>
        <color rgb="FF0000FF"/>
        <rFont val="맑은 고딕"/>
        <family val="3"/>
        <charset val="129"/>
      </rPr>
      <t>냉혈</t>
    </r>
  </si>
  <si>
    <r>
      <t xml:space="preserve">푸카셋 - 스톰투구 + 화공기술서 + </t>
    </r>
    <r>
      <rPr>
        <sz val="11"/>
        <color rgb="FFFF0000"/>
        <rFont val="맑은 고딕"/>
        <family val="3"/>
        <charset val="129"/>
      </rPr>
      <t>온혈</t>
    </r>
  </si>
  <si>
    <t>푸카셋 - 스톰갑옷</t>
  </si>
  <si>
    <r>
      <t xml:space="preserve">푸카셋 - 스톰갑옷 + 화공기술서 + </t>
    </r>
    <r>
      <rPr>
        <sz val="11"/>
        <color rgb="FF0000FF"/>
        <rFont val="맑은 고딕"/>
        <family val="3"/>
        <charset val="129"/>
      </rPr>
      <t>냉혈</t>
    </r>
  </si>
  <si>
    <t>푸카셋 - 스톰검</t>
  </si>
  <si>
    <r>
      <t xml:space="preserve">푸카셋 - 스톰검 + 화공기술서 + </t>
    </r>
    <r>
      <rPr>
        <sz val="11"/>
        <color rgb="FFFF0000"/>
        <rFont val="맑은 고딕"/>
        <family val="3"/>
        <charset val="129"/>
      </rPr>
      <t>온혈</t>
    </r>
  </si>
  <si>
    <t>푸카셋 - 스톰투구</t>
  </si>
  <si>
    <r>
      <t xml:space="preserve">푸카셋 - 스톰검 + 화공기술서 + </t>
    </r>
    <r>
      <rPr>
        <sz val="11"/>
        <color rgb="FF0000FF"/>
        <rFont val="맑은 고딕"/>
        <family val="3"/>
        <charset val="129"/>
      </rPr>
      <t>냉혈</t>
    </r>
  </si>
  <si>
    <r>
      <t xml:space="preserve">소울셋 - 펠스타갑검 + 화공기술서 + </t>
    </r>
    <r>
      <rPr>
        <sz val="11"/>
        <color rgb="FFFF0000"/>
        <rFont val="맑은 고딕"/>
        <family val="3"/>
        <charset val="129"/>
      </rPr>
      <t>냉혈 or 온혈</t>
    </r>
  </si>
  <si>
    <t>소울셋 - 펠스타갑옷</t>
  </si>
  <si>
    <r>
      <t xml:space="preserve">소울셋 - 펠스타갑옷 + 화공기술서 + </t>
    </r>
    <r>
      <rPr>
        <sz val="11"/>
        <color rgb="FFFF0000"/>
        <rFont val="맑은 고딕"/>
        <family val="3"/>
        <charset val="129"/>
      </rPr>
      <t>냉혈 or 온혈</t>
    </r>
  </si>
  <si>
    <t>소울셋 - 펠스타검</t>
  </si>
  <si>
    <t>마력의돌 + 두루마리 + 마법진(Shrpen Weapon)(3)</t>
  </si>
  <si>
    <t>Shrpen Weapon(공업스크롤)3단</t>
  </si>
  <si>
    <t>엠버 + 온혈(4) + 냉혈(4)</t>
  </si>
  <si>
    <t>토파즈 + 온혈(4) + 냉혈(4)</t>
  </si>
  <si>
    <t>엠버</t>
  </si>
  <si>
    <t>패러도트 + 온혈(4) + 냉혈(4)</t>
  </si>
  <si>
    <t>로즈쿼츠 + 온혈(4) + 냉혈(4)</t>
  </si>
  <si>
    <t>커닐리언 + 온혈(4) + 냉혈(4)</t>
  </si>
  <si>
    <t>프레이즈 + 온혈(4) + 냉혈(4)</t>
  </si>
  <si>
    <t>밀키쿼츠 + 온혈(4) + 냉혈(4)</t>
  </si>
  <si>
    <t>다이아몬드 + 온혈(4) + 냉혈(4)</t>
  </si>
  <si>
    <t>토멀린 + 온혈(4) + 냉혈(4)</t>
  </si>
  <si>
    <t>루틸 + 온혈(4) + 냉혈(4)</t>
  </si>
  <si>
    <t>문스톤 + 온혈(4) + 냉혈(4)</t>
  </si>
  <si>
    <t>돌 + 꽃가루 + 뼈가루(3) + 눈알 + 곤충날개</t>
  </si>
  <si>
    <t>엠버조각 + 온혈(2) + 냉혈(2)</t>
  </si>
  <si>
    <t>핑크사파이어조각 + 온혈(2) + 냉혈(2)</t>
  </si>
  <si>
    <t>엠버조각</t>
  </si>
  <si>
    <t>사드조각 + 온혈(2) + 냉혈(2)</t>
  </si>
  <si>
    <t>패러도트조각 + 온혈(2) + 냉혈(2)</t>
  </si>
  <si>
    <t>로즈쿼츠조각 + 온혈(2) + 냉혈(2)</t>
  </si>
  <si>
    <t>커닐니언조각 + 온혈(2) + 냉혈(2)</t>
  </si>
  <si>
    <t>프레이즈조각 + 온혈(2) + 냉혈(2)</t>
  </si>
  <si>
    <t>커닐니언조각</t>
  </si>
  <si>
    <t>밀키쿼츠조각 + 온혈(2) + 냉혈(2)</t>
  </si>
  <si>
    <t>다이아몬드조각 + 온혈(2) + 냉혈(2)</t>
  </si>
  <si>
    <t>토멀린조각 + 온혈(2) + 냉혈(2)</t>
  </si>
  <si>
    <t>문스톤조각 + 온혈(2) + 냉혈(2)</t>
  </si>
  <si>
    <t>금괴 + 온혈 + 냉혈</t>
  </si>
  <si>
    <t>플레티움괴</t>
  </si>
  <si>
    <t>철괴 + 온혈 + 냉혈</t>
  </si>
  <si>
    <t>은괴</t>
  </si>
  <si>
    <t>구리괴 + 온혈 + 냉혈</t>
  </si>
  <si>
    <t>철괴</t>
  </si>
  <si>
    <t>뼈가루(9)</t>
  </si>
  <si>
    <t>갑골</t>
  </si>
  <si>
    <t>뼈가루(5) + 오크발톱 + 늑대발톱 + 온혈 + 냉혈</t>
  </si>
  <si>
    <t>초대량의마나포션(5) + 새알(10)</t>
  </si>
  <si>
    <t>초대량의제작마나포션(5)</t>
  </si>
  <si>
    <t>초대량의마나포션(1) + 새알(2)</t>
  </si>
  <si>
    <t>초대량의제작마나포션(1)</t>
  </si>
  <si>
    <t>초대량의힐렁포션(5) + 갈비(10)</t>
  </si>
  <si>
    <t>초대량의제작힐링포션(5)</t>
  </si>
  <si>
    <t>초대량의힐렁포션(1) + 갈비(2)</t>
  </si>
  <si>
    <t>초대량의제작힐링포션(1)</t>
  </si>
  <si>
    <t>대량의마나포션(5) + 새알(10)</t>
  </si>
  <si>
    <t>대량의제작마나포션(5)</t>
  </si>
  <si>
    <t>대량의마나포션(1) + 새알(2)</t>
  </si>
  <si>
    <t>대량의제작마나포션(1)</t>
  </si>
  <si>
    <t>대량의힐렁포션(5) + 갈비(10)</t>
  </si>
  <si>
    <t>대량의제작힐링포션(5)</t>
  </si>
  <si>
    <t>대량의힐렁포션(1) + 갈비(2)</t>
  </si>
  <si>
    <t>대량의제작힐링포션(1)</t>
  </si>
  <si>
    <t>냉혈 + 빈병</t>
  </si>
  <si>
    <t>온혈</t>
  </si>
  <si>
    <t>온혈 + 빈병</t>
  </si>
  <si>
    <t>냉혈</t>
  </si>
  <si>
    <t>마나초(1) + 냉혈(1)</t>
  </si>
  <si>
    <t>혈초</t>
  </si>
  <si>
    <t>오크발톱(1) + 온혈(1)</t>
  </si>
  <si>
    <t>늑대발톱</t>
  </si>
  <si>
    <t>늑대발톱(1) ＋ 냉혈(1)</t>
  </si>
  <si>
    <t>오크발톱</t>
  </si>
  <si>
    <t>나뭇잎(5)</t>
  </si>
  <si>
    <t>나뭇잎다발</t>
  </si>
  <si>
    <t>마나초(1) + 야채즙(1)</t>
  </si>
  <si>
    <t>혈초(1) + 야채즙(1)</t>
  </si>
  <si>
    <t>죽순(3)</t>
  </si>
  <si>
    <t>야채즙</t>
  </si>
  <si>
    <t>도라지꽃(3)</t>
  </si>
  <si>
    <t>꽃가루</t>
  </si>
  <si>
    <t>마나초(3)</t>
  </si>
  <si>
    <t>혈초(3)</t>
  </si>
  <si>
    <t>뼈(5)</t>
  </si>
  <si>
    <t>뼈가루</t>
  </si>
  <si>
    <t>벌집(5)</t>
  </si>
  <si>
    <t>꿀단지</t>
  </si>
  <si>
    <t>중량의마나포션(5) + 새알(5)</t>
  </si>
  <si>
    <t>중량의제작마나포션(5)</t>
  </si>
  <si>
    <t>중량의마나포션(1) + 새알(1)</t>
  </si>
  <si>
    <t>중량의제작마나포션(1)</t>
  </si>
  <si>
    <t>중량의힐링포션(5) + 갈비(5)</t>
  </si>
  <si>
    <t>중량의제작힐링포션(5)</t>
  </si>
  <si>
    <t>중량의힐링포션(1) + 갈비(1)</t>
  </si>
  <si>
    <t>중량의제작힐링포션(1)</t>
  </si>
  <si>
    <t>소량의마나포션(5) + 새알(5)</t>
  </si>
  <si>
    <t>소량의제작마나포션(5)</t>
  </si>
  <si>
    <t>소량의마나포션(1) + 새알(1)</t>
  </si>
  <si>
    <t>소량의제작마나포션(1)</t>
  </si>
  <si>
    <t>소량의힐링포션(5) + 갈비(5)</t>
  </si>
  <si>
    <t>소량의제작힐링포션 (5)</t>
  </si>
  <si>
    <t>소량의힐링포션(1) + 갈비(1)</t>
  </si>
  <si>
    <t>소량의제작힐링포션 (1)</t>
  </si>
  <si>
    <t>마력의돌 + 두루마리 + 마법진(Shield)(7)</t>
  </si>
  <si>
    <t>Shield(방업스크롤)7단</t>
  </si>
  <si>
    <t>마력의돌 + 두루마리 + 마법진(Shield)(5)</t>
  </si>
  <si>
    <t>Shield(방업스크롤)5단</t>
  </si>
  <si>
    <t>보석광석(3) + 은광석 + 꽃가루 + 곤충날개 + 나뭇잎다발(2)</t>
  </si>
  <si>
    <t>비월5갑</t>
  </si>
  <si>
    <t>드래곤예리한비조 + 뼈가루 + 눈알 + 곤충날개 + 응가</t>
  </si>
  <si>
    <t>여의주7제</t>
  </si>
  <si>
    <t>오웬의스태프(3) + 판금기술서 + 갑골(5)</t>
  </si>
  <si>
    <t>플레이트메일</t>
  </si>
  <si>
    <t>마이트로브(3) + 판금기술서 + 갑골(5)</t>
  </si>
  <si>
    <t>크리샤오르셋-비쥬로브</t>
  </si>
  <si>
    <t>알렉산드라이트투구(3) + 판금기술서 + 갑골(5)</t>
  </si>
  <si>
    <t>푸카셋-스톤투구</t>
  </si>
  <si>
    <t>컴포지트메일(3) + 판금기술서 + 갑골(5)</t>
  </si>
  <si>
    <t>푸카셋-스톰갑옷</t>
  </si>
  <si>
    <t>플레이트메일(3) + 판금기술서 + 갑골(5)</t>
  </si>
  <si>
    <t>소울셋-펠스타갑옷</t>
  </si>
  <si>
    <t>마력의돌 + 두루마리 + 마법진(Shield)(3)</t>
  </si>
  <si>
    <t>Shield(방업스크롤)3단</t>
  </si>
  <si>
    <t>물소가죽투구 + 엘프-버클러 + 염색약 + 집게 + 큰가죽</t>
  </si>
  <si>
    <t>각반4패</t>
  </si>
  <si>
    <t>물소가죽투구 + 오크-버클러 + 염색약 + 집게 + 큰가죽</t>
  </si>
  <si>
    <t>물소가죽투구 + 인간-버클러 + 염색약 + 집게 + 큰가죽</t>
  </si>
  <si>
    <t>구리광석 + 꽃가루 + 곤충날개 + 나뭇잎다발(2)</t>
  </si>
  <si>
    <t>비월4갑</t>
  </si>
  <si>
    <t>드래곤느린비조 + 뼈가루 + 눈알 + 곤충날개 + 응가</t>
  </si>
  <si>
    <t>여의주6제</t>
  </si>
  <si>
    <t>드래곤느린비조(2) + 뼈가루 + 눈알 + 곤충날개</t>
  </si>
  <si>
    <t>여의주5제</t>
  </si>
  <si>
    <t>소가죽투구 + 눈알 + 꿀단지(2)</t>
  </si>
  <si>
    <t>질긴가죽투구</t>
  </si>
  <si>
    <t>낡은 소가죽투구 + 눈알 + 꿀단지(2)</t>
  </si>
  <si>
    <t>오크가죽투구</t>
  </si>
  <si>
    <t>모조소가죽투구 + 눈알 + 꿀단지(2)</t>
  </si>
  <si>
    <t>낡은가죽투구</t>
  </si>
  <si>
    <t>눈알 + 꿀단지(2) + 질긴가죽투구</t>
  </si>
  <si>
    <t>소가죽투구</t>
  </si>
  <si>
    <t>모조환영의방패 + 눈알 + 꿀단지(2)</t>
  </si>
  <si>
    <t>환영의방패</t>
  </si>
  <si>
    <t>천상의 방패 + 눈알 + 꿀단지(2)</t>
  </si>
  <si>
    <t>모조환영의방패</t>
  </si>
  <si>
    <t>모조천상의방패 + 눈알 + 꿀단지(2)</t>
  </si>
  <si>
    <t>천상의방패</t>
  </si>
  <si>
    <t>체인메일 + 눈알 + 꿀단지(2)</t>
  </si>
  <si>
    <t>밴디드메일</t>
  </si>
  <si>
    <t>눈알 + 꿀단지(2) + 녹슨사슬갑옷</t>
  </si>
  <si>
    <t>체인메일</t>
  </si>
  <si>
    <t>샤브르 + 눈알 + 꿀단지(2)</t>
  </si>
  <si>
    <t>쇠미늘로브 + 눈알 + 꿀단지(2)</t>
  </si>
  <si>
    <t>은빛로브</t>
  </si>
  <si>
    <t>헤진쇠미늘로브 + 눈알 + 꿀단지(2)</t>
  </si>
  <si>
    <t>쇠미늘로브</t>
  </si>
  <si>
    <t>스케일아머 + 눈알 + 꿀단지(2)</t>
  </si>
  <si>
    <t>낡은물소가죽투구 + 엘프-버클러 + 염색약 + 집게 + 큰가죽</t>
  </si>
  <si>
    <t>각반3패</t>
  </si>
  <si>
    <t>낡은물소가죽투구 + 오크-버클러 + 염색약 + 집게 + 큰가죽</t>
  </si>
  <si>
    <t>낡은물소가죽투구 + 인간-버클러 + 염색약 + 집게 + 큰가죽</t>
  </si>
  <si>
    <t>모조물소가죽투구  + 엘프-버클러 + 집게 + 큰가죽</t>
  </si>
  <si>
    <t>각반2패</t>
  </si>
  <si>
    <t>모조물소가죽투구 + 오크-버클러 + 집게 + 큰가죽</t>
  </si>
  <si>
    <t>모조물소가죽투구 + 인간-버클러 + 집게 + 큰가죽</t>
  </si>
  <si>
    <t>석탄 + 꽃가루 + 곤충날개 + 나뭇잎다발</t>
  </si>
  <si>
    <t>뼈가루(3) + 눈알(3) + 곤충날개(3)</t>
  </si>
  <si>
    <t>여의주4제</t>
  </si>
  <si>
    <t>뼈가루(2) + 눈알(3) + 곤충날개(3)</t>
  </si>
  <si>
    <t>여의주3제</t>
  </si>
  <si>
    <t>염색약 + 금괴</t>
  </si>
  <si>
    <t>플래티움괴</t>
  </si>
  <si>
    <t>염색약 + 은괴</t>
  </si>
  <si>
    <t>금괴</t>
  </si>
  <si>
    <t>염색약 + 철괴</t>
  </si>
  <si>
    <t>염색약 + 구리괴</t>
  </si>
  <si>
    <t>모루 + 플래티움괴(3)</t>
  </si>
  <si>
    <t>모루 + 플래티움괴(2)</t>
  </si>
  <si>
    <t>여자컴포지트메일</t>
  </si>
  <si>
    <t>모루 + 플래티움괴</t>
  </si>
  <si>
    <t>모루 + 금괴(3)</t>
  </si>
  <si>
    <t>컴포지트메일</t>
  </si>
  <si>
    <t>모루 + 금괴(2)</t>
  </si>
  <si>
    <t>크로즈헬멧</t>
  </si>
  <si>
    <t>모루 + 금괴</t>
  </si>
  <si>
    <t>알렉산드라이트투구</t>
  </si>
  <si>
    <t>모루 + 은괴(2)</t>
  </si>
  <si>
    <t>모루 + 은괴</t>
  </si>
  <si>
    <t>스케일아머</t>
  </si>
  <si>
    <t>모루 + 철괴(3)</t>
  </si>
  <si>
    <t>강철방패</t>
  </si>
  <si>
    <t>모루 + 철괴(2)</t>
  </si>
  <si>
    <t>모루 + 철괴</t>
  </si>
  <si>
    <t>강철투구</t>
  </si>
  <si>
    <t>모루 + 구리괴(3)</t>
  </si>
  <si>
    <t>강철갑옷</t>
  </si>
  <si>
    <t>모루 + 구리괴(2)</t>
  </si>
  <si>
    <t>단단한코퍼갑옷</t>
  </si>
  <si>
    <t>모루 + 구리괴</t>
  </si>
  <si>
    <t>스플린트메일</t>
  </si>
  <si>
    <t>엘프족-버클러 + 큰가죽</t>
  </si>
  <si>
    <t>각반1패</t>
  </si>
  <si>
    <t>오크족-버클러 + 큰가죽</t>
  </si>
  <si>
    <t>인간족-버클러 + 큰가죽</t>
  </si>
  <si>
    <t>꽃가루 + 곤충날개 + 나뭇잎다발 + 냉혈</t>
  </si>
  <si>
    <t>비월 2갑</t>
  </si>
  <si>
    <t>꽃가루 + 곤충날개 + 나뭇잎다발</t>
  </si>
  <si>
    <t>비월 1갑</t>
  </si>
  <si>
    <t>뼈가루 + 눈알 + 곤충날개(2)</t>
  </si>
  <si>
    <t>여의 주2제</t>
  </si>
  <si>
    <t>뼈가루 + 눈알 + 곤충날개</t>
  </si>
  <si>
    <t>여의주1제</t>
  </si>
  <si>
    <t>나뭇잎다발(3)</t>
  </si>
  <si>
    <t>버클러</t>
  </si>
  <si>
    <t>나뭇잎다발(2)</t>
  </si>
  <si>
    <t>큰가죽(8)</t>
  </si>
  <si>
    <t>큰가죽(6)</t>
  </si>
  <si>
    <t>마이트로브</t>
  </si>
  <si>
    <t>큰가죽(5)</t>
  </si>
  <si>
    <t>큰가죽(4)</t>
  </si>
  <si>
    <t>큰가죽(3)</t>
  </si>
  <si>
    <t>큰가죽(2)</t>
  </si>
  <si>
    <t>실타래(5) + 바늘</t>
  </si>
  <si>
    <t>모조패러도트목걸이</t>
  </si>
  <si>
    <t>실타래(4) + 바늘</t>
  </si>
  <si>
    <t>초기로브</t>
  </si>
  <si>
    <t>실타래(3) + 바늘</t>
  </si>
  <si>
    <t>파린의옷</t>
  </si>
  <si>
    <t>실타래(2) + 바늘</t>
  </si>
  <si>
    <t>전설의도복</t>
  </si>
  <si>
    <t>실타래 + 바늘</t>
  </si>
  <si>
    <t>레닌의 옷</t>
  </si>
  <si>
    <t>작은가죽(5) + 송곳</t>
  </si>
  <si>
    <t>작은가죽(4) + 송곳</t>
  </si>
  <si>
    <t>작은가죽(3) + 송곳</t>
  </si>
  <si>
    <t>가죽투구</t>
  </si>
  <si>
    <t>작은가죽(2) + 송곳</t>
  </si>
  <si>
    <t>작은가죽 + 송곳</t>
  </si>
  <si>
    <t>모조가죽투구</t>
  </si>
  <si>
    <t>좀비헤어(5)</t>
  </si>
  <si>
    <t>실타래</t>
  </si>
  <si>
    <t>작은가죽(7) + 뼈가루(2)</t>
  </si>
  <si>
    <t>3단부터 제작가능</t>
  </si>
  <si>
    <t>파피루스 + 끈끈한나무진액 + 물</t>
  </si>
  <si>
    <t>두루마리</t>
  </si>
  <si>
    <t>제본</t>
  </si>
  <si>
    <t>주물기 + 은괴 + 구리괴 + 금괴 + 오크발톱 + 늑대발톱</t>
  </si>
  <si>
    <t>드래곤빠른비조</t>
  </si>
  <si>
    <t>제본기술</t>
  </si>
  <si>
    <t>큰가죽 + 갑골 + 화공기술서</t>
  </si>
  <si>
    <t>마법책</t>
  </si>
  <si>
    <t>큰가죽 + 갑골 + 판금기술서</t>
  </si>
  <si>
    <t>큰가죽 + 갑골 + 제련기술서</t>
  </si>
  <si>
    <t>큰가죽 + 갑골 + 세공기술서</t>
  </si>
  <si>
    <t>큰가죽 + 갑골 + 마법책(힐링)</t>
  </si>
  <si>
    <t>화공기술서</t>
  </si>
  <si>
    <t>큰가죽 + 갑골 + 마법책(라이팅볼)</t>
  </si>
  <si>
    <t>판금기술서</t>
  </si>
  <si>
    <t>큰가죽 + 갑골 + 마법책(메테오)</t>
  </si>
  <si>
    <t>제련기술서</t>
  </si>
  <si>
    <t>큰가죽 + 갑골 + 마법책(파이어볼)</t>
  </si>
  <si>
    <t>세공기술서</t>
  </si>
  <si>
    <t>500레블 + 나뭇잎가루 + 온혈(2) + 냉혈(2)</t>
  </si>
  <si>
    <t>100레블 + 나뭇잎가루 + 온혈(1) + 냉혈(2)</t>
  </si>
  <si>
    <t>50레블 + 나뭇잎가루 + 온혈(1) + 냉혈(1)</t>
  </si>
  <si>
    <t>10레블 + 나뭇잎가루 + 온혈(1) + 냉혈(1)</t>
  </si>
  <si>
    <t>50레블</t>
  </si>
  <si>
    <t>온혈(2) + 냉혈(2) + 마법책(힐링)</t>
  </si>
  <si>
    <t>온혈(2) + 냉혈(2) + 마법책(라이팅볼)</t>
  </si>
  <si>
    <t>온혈(2) + 냉혈(2) + 마법책(메테오)</t>
  </si>
  <si>
    <t>온혈(2) + 냉혈(2) + 마법책(파이어볼)</t>
  </si>
  <si>
    <t>매지션스태프 + 플래티움괴 + 나뭇잎다발 + 응가</t>
  </si>
  <si>
    <t>마법책(스피리스)</t>
  </si>
  <si>
    <t>매지션스태프 + 금괴 + 나뭇잎다발 + 응가</t>
  </si>
  <si>
    <t>마법책(라트리)</t>
  </si>
  <si>
    <t>매지션스태프 + 은괴 + 나뭇잎다발 + 응가</t>
  </si>
  <si>
    <t>마법책(마테르)</t>
  </si>
  <si>
    <t>주물기 + 은괴 + 구리괴 + 오크발톱 + 늑대발톱</t>
  </si>
  <si>
    <t>드래곤날카로운비조</t>
  </si>
  <si>
    <t>주물기 + 구리괴 + 오크발톱 + 늑대발톱</t>
  </si>
  <si>
    <t>드래곤예리한비조</t>
  </si>
  <si>
    <t>제본기술서 P1 ~ P5</t>
  </si>
  <si>
    <t>제본기술서P8</t>
  </si>
  <si>
    <t>제본기술서 P1 ~ P4</t>
  </si>
  <si>
    <t>제본기술서P7</t>
  </si>
  <si>
    <t>제본기술서 P1 ~ P3</t>
  </si>
  <si>
    <t>제본기술서P6</t>
  </si>
  <si>
    <t>화공기술서 P1 ~ P5</t>
  </si>
  <si>
    <t>화공기술서P8</t>
  </si>
  <si>
    <t>제련기술서 P1 ~ P3</t>
  </si>
  <si>
    <t>제련기술서P6</t>
  </si>
  <si>
    <t>세공기술서 P1 ~ P5</t>
  </si>
  <si>
    <t>세공기술서P8</t>
  </si>
  <si>
    <t>세공기술서 P1 ~ P4</t>
  </si>
  <si>
    <t>세공기술서P7</t>
  </si>
  <si>
    <t>세공기술서 P1 ~ P3</t>
  </si>
  <si>
    <t>세공기술서P6</t>
  </si>
  <si>
    <t>실타래 + 바늘 + 송곳 + 보물상자 + 갑골(5)</t>
  </si>
  <si>
    <t>실타래 + 바늘 + 송곳 + 500레블 + 갑골(5)</t>
  </si>
  <si>
    <t>실타래 + 바늘 + 송곳 + 100레블 + 갑골(5)</t>
  </si>
  <si>
    <t>실타래 + 바늘 + 송곳 + 50레블 + 갑골(5)</t>
  </si>
  <si>
    <t>마법책(스피리스) + 온혈(2) + 냉혈(2)</t>
  </si>
  <si>
    <t>주물기(2) + 오크발톱(2) + 늑대발톱(2)</t>
  </si>
  <si>
    <t>드래곤무딘비조</t>
  </si>
  <si>
    <t>염색약(4) + 큰가죽(4) + 송곳</t>
  </si>
  <si>
    <t>염색약(3) + 큰가죽(3) + 송곳</t>
  </si>
  <si>
    <t>염색약(2) + 큰가죽(2)</t>
  </si>
  <si>
    <t>염색약 + 큰가죽</t>
  </si>
  <si>
    <t>제본기술서 + 온혈 + 냉혈</t>
  </si>
  <si>
    <t>화공기술서 + 온혈 + 냉혈</t>
  </si>
  <si>
    <t>판금기술서 + 온혈 + 냉혈</t>
  </si>
  <si>
    <t>제련기술서 + 온혈 + 냉혈</t>
  </si>
  <si>
    <t>세공기술서 + 온혈 + 냉혈</t>
  </si>
  <si>
    <t>오크발톱(2) + 늑대발톱(2)</t>
  </si>
  <si>
    <t>드래곤느린비조</t>
  </si>
  <si>
    <t>화공기술서P1 ~ P8 + 우유</t>
  </si>
  <si>
    <t>판금기술서P1 ~ P8 + 우유</t>
  </si>
  <si>
    <t>제련기술서P1 ~ P8 + 우유</t>
  </si>
  <si>
    <t>세공기술서P1 ~ P8 + 우유</t>
  </si>
  <si>
    <t>마력돌 + 두루마리 + 마법진</t>
  </si>
  <si>
    <t>상태마법캔슬(Dispel)</t>
  </si>
  <si>
    <t>오웬의스태프(3) + 제련기술서갑골(5)</t>
  </si>
  <si>
    <t>오크배틀검(3) + 제련기술서갑골(5)</t>
  </si>
  <si>
    <t>푸카셋-스톰검</t>
  </si>
  <si>
    <t>더크대거(3) + 제련기술서갑골(5)</t>
  </si>
  <si>
    <t>소울셋-펠스타검</t>
  </si>
  <si>
    <r>
      <t xml:space="preserve">제련기술서 P7 + 나뭇잎가루(3) + 꽃가루(1) </t>
    </r>
    <r>
      <rPr>
        <b/>
        <sz val="11"/>
        <color rgb="FF212529"/>
        <rFont val="맑은 고딕"/>
        <family val="3"/>
        <charset val="129"/>
      </rPr>
      <t xml:space="preserve">+ </t>
    </r>
    <r>
      <rPr>
        <sz val="11"/>
        <color rgb="FF212529"/>
        <rFont val="맑은 고딕"/>
        <family val="3"/>
        <charset val="129"/>
      </rPr>
      <t>뼈가루(1)</t>
    </r>
  </si>
  <si>
    <t>금괴(5) + 나뭇잎다발(4)</t>
  </si>
  <si>
    <t>더크대거</t>
  </si>
  <si>
    <t>금괴(5) + 뼈가루(4)</t>
  </si>
  <si>
    <t>커틀래스</t>
  </si>
  <si>
    <t>은괴(5) + 나뭇잎다발(4)</t>
  </si>
  <si>
    <t>은괴(5) + 뼈가루(4)</t>
  </si>
  <si>
    <t>철괴(5) + 나뭇잎다발(4)</t>
  </si>
  <si>
    <t>오크배틀검</t>
  </si>
  <si>
    <t>구리괴(5) + 나뭇잎다발(4)</t>
  </si>
  <si>
    <t>퍼플비드완드</t>
  </si>
  <si>
    <t>구리괴(5) + 뼈가루(4)</t>
  </si>
  <si>
    <t>키드니대거</t>
  </si>
  <si>
    <t>윌스태프 + 눈알 + 꿀단지(2)</t>
  </si>
  <si>
    <t>마이티스태프</t>
  </si>
  <si>
    <t>맨틀스태프 + 눈알 + 꿀단지(2)</t>
  </si>
  <si>
    <t>월스태프</t>
  </si>
  <si>
    <t>소드브레이커 + 눈알 + 꿀단지(2)</t>
  </si>
  <si>
    <t>쿠크리</t>
  </si>
  <si>
    <t>상인용스틱 + 눈알 + 꿀단지(2)</t>
  </si>
  <si>
    <t>소드브레이커</t>
  </si>
  <si>
    <t>메이스 + 눈알 + 꿀단지(2)</t>
  </si>
  <si>
    <t>상인용스틱</t>
  </si>
  <si>
    <t>쇼트소드 + 눈알 + 꿀단지(2)</t>
  </si>
  <si>
    <t>철가루 + 석탄(3)</t>
  </si>
  <si>
    <t>쇠국자</t>
  </si>
  <si>
    <t>은가루 + 석탄(3)</t>
  </si>
  <si>
    <t>주물기</t>
  </si>
  <si>
    <t>구리가루 + 석탄(3)</t>
  </si>
  <si>
    <t>모루</t>
  </si>
  <si>
    <t>플래티움가루 + 석탄(3)</t>
  </si>
  <si>
    <t>바늘</t>
  </si>
  <si>
    <t>금가루 + 석탄(3)</t>
  </si>
  <si>
    <t>송곳</t>
  </si>
  <si>
    <t>철괴(2) + 야채즙(3)</t>
  </si>
  <si>
    <t>은괴(2) + 꿀단지(3)</t>
  </si>
  <si>
    <t>구리괴(2) + 곤충날개(3)</t>
  </si>
  <si>
    <t>플래티움괴(2) + 온혈(3)</t>
  </si>
  <si>
    <t>그레이트스태프</t>
  </si>
  <si>
    <t>금괴(2) + 냉혈(3)</t>
  </si>
  <si>
    <t>맨틀스태프</t>
  </si>
  <si>
    <t>쇠국자 + 은가루(3)</t>
  </si>
  <si>
    <t>쇠국자 + 구리가루(3)</t>
  </si>
  <si>
    <t>쇠국자 + 플래티움가루(3)</t>
  </si>
  <si>
    <t>쇠국자 + 금가루(3)</t>
  </si>
  <si>
    <t>구리가루(4)</t>
  </si>
  <si>
    <t>구리괴</t>
  </si>
  <si>
    <t>플래티움가루(4)</t>
  </si>
  <si>
    <t>금가루(4)</t>
  </si>
  <si>
    <t>은가루(4)</t>
  </si>
  <si>
    <t>철가루(4)</t>
  </si>
  <si>
    <t>주물기 + 철가루</t>
  </si>
  <si>
    <t>곡괭이</t>
  </si>
  <si>
    <t>주물기 + 은가루</t>
  </si>
  <si>
    <t>5레블</t>
  </si>
  <si>
    <t>주물기 + 구리가루</t>
  </si>
  <si>
    <t>3레블</t>
  </si>
  <si>
    <t>주물기 + 플래티움가루</t>
  </si>
  <si>
    <t>주물기 + 금가루</t>
  </si>
  <si>
    <t>10레블</t>
  </si>
  <si>
    <t>집게 + 모루 + 철가루</t>
  </si>
  <si>
    <t>집게 + 모루 + 은가루</t>
  </si>
  <si>
    <t>집게 + 모루 + 구리가루</t>
  </si>
  <si>
    <t>메이스</t>
  </si>
  <si>
    <t>집게 + 모루 + 플래티움가루</t>
  </si>
  <si>
    <t>쇼트소드</t>
  </si>
  <si>
    <t>집게 + 모루 + 금가루</t>
  </si>
  <si>
    <t>핸드소드</t>
  </si>
  <si>
    <t>제련기술서 P5 + 금가루(2) + 오크발톱</t>
  </si>
  <si>
    <t>제련기술서 P4 + 플래티움가루(2) + 늑대발톱</t>
  </si>
  <si>
    <t>숏스워드</t>
  </si>
  <si>
    <t>제련기술서 P3 + 구리가루(2) + 뼈가루</t>
  </si>
  <si>
    <t>매지션스태프</t>
  </si>
  <si>
    <t>제련기술서 P2 + 은가루(2) + 나뭇잎다발</t>
  </si>
  <si>
    <t>배틀엑스</t>
  </si>
  <si>
    <t>제련기술서 P1 + 철가루(2) + 나뭇잎가루</t>
  </si>
  <si>
    <t>손도끼</t>
  </si>
  <si>
    <t>작은가죽 + 석탄 + 철광석(3)</t>
  </si>
  <si>
    <t>철가루</t>
  </si>
  <si>
    <t>작은가죽 + 석탄 + 은광석(3)</t>
  </si>
  <si>
    <t>은가루</t>
  </si>
  <si>
    <t>작은가죽 + 석탄 + 구리광석(3)</t>
  </si>
  <si>
    <t>구리가루</t>
  </si>
  <si>
    <t>작은가죽 + 석탄 + 플래티움광석(3)</t>
  </si>
  <si>
    <t>플래티움가루</t>
  </si>
  <si>
    <t>작은가죽 + 석탄 + 금광석(3)</t>
  </si>
  <si>
    <t>금가루</t>
  </si>
  <si>
    <t>철광석(9)</t>
  </si>
  <si>
    <t>은광석(9)</t>
  </si>
  <si>
    <t>구리광석(9)</t>
  </si>
  <si>
    <t>플래티움광석(9)</t>
  </si>
  <si>
    <t>금광석(9)</t>
  </si>
  <si>
    <t>이름</t>
  </si>
  <si>
    <t>hp</t>
  </si>
  <si>
    <t>damage</t>
  </si>
  <si>
    <t>exp</t>
  </si>
  <si>
    <t>토끼</t>
  </si>
  <si>
    <t>강아지</t>
  </si>
  <si>
    <t>작은벌</t>
  </si>
  <si>
    <t>젖소</t>
  </si>
  <si>
    <t>작은리자드</t>
  </si>
  <si>
    <t>리자드</t>
  </si>
  <si>
    <t>늑대</t>
  </si>
  <si>
    <t>벌</t>
  </si>
  <si>
    <t>하넷</t>
  </si>
  <si>
    <t>스카랍</t>
  </si>
  <si>
    <t>쥐전갈</t>
  </si>
  <si>
    <t>이구아나</t>
  </si>
  <si>
    <t>왕집게</t>
  </si>
  <si>
    <t>박쥐</t>
  </si>
  <si>
    <t>숲의정원사</t>
  </si>
  <si>
    <t>토이박스</t>
  </si>
  <si>
    <t>팀버</t>
  </si>
  <si>
    <t>크리스마스팀버</t>
  </si>
  <si>
    <t>오크</t>
  </si>
  <si>
    <t>파이어오크</t>
  </si>
  <si>
    <t>오크전사</t>
  </si>
  <si>
    <t>해골전사</t>
  </si>
  <si>
    <t>트렌트</t>
  </si>
  <si>
    <t>좀비</t>
  </si>
  <si>
    <t>다크엘프</t>
  </si>
  <si>
    <t>오크마법사</t>
  </si>
  <si>
    <t>여자마법사</t>
  </si>
  <si>
    <t>살라만드라</t>
  </si>
  <si>
    <t>고블린스토커</t>
  </si>
  <si>
    <t>킹오크</t>
  </si>
  <si>
    <t>트롤</t>
  </si>
  <si>
    <t>페르거스</t>
  </si>
  <si>
    <t>킹해골</t>
  </si>
  <si>
    <t>늑대인간</t>
  </si>
  <si>
    <t>킹좀비</t>
  </si>
  <si>
    <t>아프락시스</t>
  </si>
  <si>
    <t>돌골렘</t>
  </si>
  <si>
    <t>코볼트</t>
  </si>
  <si>
    <t>미노타우르스</t>
  </si>
  <si>
    <t>오르쿠스</t>
  </si>
  <si>
    <t>푸르쿠스</t>
  </si>
  <si>
    <t>킹미노</t>
  </si>
  <si>
    <t>호그</t>
  </si>
  <si>
    <t>데블</t>
  </si>
  <si>
    <t>어둠의전사</t>
  </si>
  <si>
    <t>작은드래곤</t>
  </si>
  <si>
    <t>베타드에탐</t>
  </si>
  <si>
    <t>판데모니움</t>
  </si>
  <si>
    <t>자이언트써펀트</t>
  </si>
  <si>
    <t>나무괴물</t>
  </si>
  <si>
    <t>우크바흐</t>
  </si>
  <si>
    <t>피드</t>
  </si>
  <si>
    <t>드래곤</t>
  </si>
  <si>
    <t>&lt;세공기술&gt;</t>
  </si>
  <si>
    <t>세공 기술 단계</t>
  </si>
  <si>
    <t>단계   레벨        서적            필요재료           필요속성치        레블</t>
  </si>
  <si>
    <t xml:space="preserve"> 1      25레벨  세공기술서 성운의 목걸이   CHA:100 / DEX:25 / 10,000</t>
  </si>
  <si>
    <t xml:space="preserve"> 2      40레벨  세공기술서     문스톤         CHA:160 / DEX:40 / 30,000</t>
  </si>
  <si>
    <t xml:space="preserve"> 3      55레벨  세공기술서       앰버          CHA:220 / DEX:55 / 60,000</t>
  </si>
  <si>
    <t xml:space="preserve"> 4      75레벨  세공기술서   패러도트        CHA:280 / DEX:75 / 100,000</t>
  </si>
  <si>
    <t xml:space="preserve"> 5      85레벨  세공기술서   Forgatten       CHA:340 / DEX:85 / 150,000</t>
  </si>
  <si>
    <t xml:space="preserve">                                      Diamond       </t>
  </si>
  <si>
    <t>&lt;제련기술&gt;</t>
  </si>
  <si>
    <t>제련 기술 단계</t>
  </si>
  <si>
    <t>단계   레벨        서적          필요재료         필요속성치          레블</t>
  </si>
  <si>
    <t>1     25레벨  제련기술서      페도라       CHA:95   / CON:30 / 10,000</t>
  </si>
  <si>
    <t>2     40레벨  제련기술서        루틸        CHA:155 / CON:45 / 30,000</t>
  </si>
  <si>
    <t>3     55레벨  제련기술서     로즈쿼츠     CHA:215 / CON:60 / 60,000</t>
  </si>
  <si>
    <t>4     75레벨  제련기술서   다이아몬드    CHA:275 / CON:75 / 100,000</t>
  </si>
  <si>
    <t>5     85레벨  제련기술서    Forgatten     CHA:335 / CON:90 / 150,000</t>
  </si>
  <si>
    <t xml:space="preserve">                                     Diamond</t>
  </si>
  <si>
    <t>&lt;제본기술&gt;</t>
  </si>
  <si>
    <t>제본 기술 단계</t>
  </si>
  <si>
    <t>단계   레벨        서적          필요재료        필요속성치         레블</t>
  </si>
  <si>
    <t xml:space="preserve"> 1     25레벨 제본기술서 P3   큰가죽     CHA:100  / WIS:35 / 10,000</t>
  </si>
  <si>
    <t xml:space="preserve"> 2     40레벨  제본기술서  상인조합밴드 CHA:160  / WIS:50 / 30,000</t>
  </si>
  <si>
    <t xml:space="preserve"> 3     55레벨  제본기술서   상인용스틱   CHA:220  / WIS:65 / 60,000</t>
  </si>
  <si>
    <t xml:space="preserve"> 4     70레벨  제본기술서   다이아몬드   CHA:280  / WIS:80 / 100,000</t>
  </si>
  <si>
    <t xml:space="preserve">                                      Diamond</t>
  </si>
  <si>
    <t>&lt;판금기술&gt;</t>
  </si>
  <si>
    <t>판금 기술 단계</t>
  </si>
  <si>
    <t>단계   레벨        서적          필요재료              필요속성치      레블</t>
  </si>
  <si>
    <t xml:space="preserve"> 1     25레벨  판금기술서  낡은해골방패   CHA:105  / STR:20 / 10,000</t>
  </si>
  <si>
    <t xml:space="preserve"> 2     40레벨  판금기술서  상인용가먼트   CHA:165  / STR:35 / 30,000</t>
  </si>
  <si>
    <t xml:space="preserve"> 3     55레벨  판금기술서     밀키쿼즈      CHA:225  / STR:50 / 60,000</t>
  </si>
  <si>
    <t xml:space="preserve"> 4     70레벨  판금기술서     커닐라인      CHA:285  / STR:65 / 100,000</t>
  </si>
  <si>
    <t xml:space="preserve"> 5     85레벨  판금기술서    Forgatten      CHA:345  / STR:80 / 150,000</t>
  </si>
  <si>
    <t xml:space="preserve">&lt;화공기술&gt; </t>
  </si>
  <si>
    <t>화공 기술 단계</t>
  </si>
  <si>
    <t>단계   레벨        서적          필요재료            필요속성치       레블</t>
  </si>
  <si>
    <t xml:space="preserve"> 1     25레벨  화공기술서       응가         CHA:100  / INT:25 / 10,000</t>
  </si>
  <si>
    <t xml:space="preserve"> 2     40레벨  화공기술서       금괴         CHA:160  / INT:40 / 30,000</t>
  </si>
  <si>
    <t xml:space="preserve"> 3     55레벨  화공기술서       루틸         CHA:220  / INT:55 / 60,000</t>
  </si>
  <si>
    <t xml:space="preserve"> 4     70레벨  화공기술서   다이아몬드    CHA:280  / INT:70 / 100,000</t>
  </si>
  <si>
    <t xml:space="preserve"> 5     85레벨  화공기술서    Forgatten     CHA:340  / INT:85 / 150,000</t>
  </si>
  <si>
    <t>&lt;A HREF="makingskill.bhelp","***돌아가기***"&gt;</t>
  </si>
  <si>
    <t xml:space="preserve">  ☆☆ 생산기술단계 ☆☆</t>
  </si>
  <si>
    <t xml:space="preserve"> 제본기술은 종이와 관련된 물건을 생산 하는 기술입니다.</t>
  </si>
  <si>
    <t xml:space="preserve"> 가죽류, 천류, 나무류, 금속류의 방어구를 제작하는 기술입니다.</t>
  </si>
  <si>
    <t>구리,철,은,금,플래티움의 광석을 이용해 새로운 무기를 창조하는 기 술로 법사 스태프류 포함한 손에 들고 다니는 공격 무기와 관련한 기 술입니다.</t>
    <phoneticPr fontId="2" type="noConversion"/>
  </si>
  <si>
    <t xml:space="preserve">보석,반지,목걸이 등을 창조하는 기술입니다.보석은 거의 몬스터에 게서는 나오지 않으며 좋은 보석은 세공기술로만 창조가능합니다.  </t>
    <phoneticPr fontId="2" type="noConversion"/>
  </si>
  <si>
    <t>화공기술은 주로 생산기술에 필요한 재료를 생산하는 기술입니다. 이기술을 습득한 상인은 상인에 대한 상인이 됩니다.또한 보석 등의</t>
    <phoneticPr fontId="2" type="noConversion"/>
  </si>
  <si>
    <t>고가품을 다른 보석으로 바꿀 수 있는 기술도 제공된다. 특히 4레벨에서는 셋트아이템을 다른 셋트 아이템으로 전환하는 기술이 압권입니다.</t>
    <phoneticPr fontId="2" type="noConversion"/>
  </si>
  <si>
    <t>왠만한 구템과 스킬들 업뎃한거임 26.04월 준서버 기준</t>
    <phoneticPr fontId="2" type="noConversion"/>
  </si>
  <si>
    <t xml:space="preserve">F1(도움말) 헬프파일 엑셀화 입니다 .. 업뎃마다 바껴서 만듬 </t>
    <phoneticPr fontId="2" type="noConversion"/>
  </si>
  <si>
    <t>다중 클라이언트 조작</t>
  </si>
  <si>
    <t>창모드 다중 실행 시 Alt + Tab으로 전환하면서 플레이하면 편합니다.</t>
  </si>
  <si>
    <t>3. 자동물약 설정</t>
  </si>
  <si>
    <t>접속기에서 자동물약을 체크합니다.</t>
  </si>
  <si>
    <t>원하는 사용 퍼센티지를 입력합니다.</t>
  </si>
  <si>
    <t>게임 내 슬롯은 아래처럼 맞춰 주세요.</t>
  </si>
  <si>
    <t>1번 슬롯 : 체력 물약</t>
  </si>
  <si>
    <t>2번 슬롯 : 마나 물약</t>
  </si>
  <si>
    <t>3번 슬롯 : 스태미나 물약</t>
  </si>
  <si>
    <t>4. 편의 기능 설정</t>
  </si>
  <si>
    <t>상점 이용 시 세금이 적용될 경우 접속기에서 세금 항목을 체크해 주세요.</t>
  </si>
  <si>
    <t>드랍 아이템이 보이지 않을 때는 F5를 눌러 확인해 보세요.</t>
  </si>
  <si>
    <t>5. 채팅 및 기본 명령어</t>
  </si>
  <si>
    <t>! 입력 후 말하면 전체 채팅입니다.</t>
  </si>
  <si>
    <t>초기 지원금</t>
  </si>
  <si>
    <t>IP당 1회 사용 가능하며, 아래 명령어 입력 시 각 10만 골드가 지급됩니다.</t>
  </si>
  <si>
    <t>!님아돈좀</t>
  </si>
  <si>
    <t>!제발돈좀</t>
  </si>
  <si>
    <t>6. 유료 버프(레블)</t>
  </si>
  <si>
    <t>일반 버프</t>
  </si>
  <si>
    <t>!공업</t>
  </si>
  <si>
    <t>!방업</t>
  </si>
  <si>
    <t>!경치</t>
  </si>
  <si>
    <t>!드랍</t>
  </si>
  <si>
    <t>→ 5분 / 3만원 / 10% 상승</t>
  </si>
  <si>
    <t>강화 버프</t>
  </si>
  <si>
    <t>!강공업</t>
  </si>
  <si>
    <t>!강방업</t>
  </si>
  <si>
    <t>!강경치</t>
  </si>
  <si>
    <t>!강드랍</t>
  </si>
  <si>
    <t>→ 5분 / 5만원 / 15% 상승</t>
  </si>
  <si>
    <t>사용 예시</t>
  </si>
  <si>
    <t>!공업 10</t>
  </si>
  <si>
    <t>→ 50분 버프 적용 / 비용 50만원</t>
  </si>
  <si>
    <t>7. 채널 시스템</t>
  </si>
  <si>
    <t>일부 사냥터에는 채널 시스템이 적용되어 있습니다.</t>
  </si>
  <si>
    <t>채널 확인 및 이동</t>
  </si>
  <si>
    <t>!채널 : 채널 목록 확인</t>
  </si>
  <si>
    <t>!채널 1</t>
  </si>
  <si>
    <t>!채널 2</t>
  </si>
  <si>
    <t>!채널 3</t>
  </si>
  <si>
    <t>!채널 4</t>
  </si>
  <si>
    <t>!채널 5</t>
  </si>
  <si>
    <t>채널 적용 사냥터</t>
  </si>
  <si>
    <t>언더루인 1층</t>
  </si>
  <si>
    <t>시드왕 3층</t>
  </si>
  <si>
    <t>60존</t>
  </si>
  <si>
    <t>80존</t>
  </si>
  <si>
    <t>8. 이동 / 특수 기능</t>
  </si>
  <si>
    <t>도박장 !나락</t>
  </si>
  <si>
    <t xml:space="preserve">경마장 이동 !나락2 </t>
  </si>
  <si>
    <t>입력으로 경주장 즉시 이동 가능합니다.</t>
  </si>
  <si>
    <t>소환 / 출두</t>
  </si>
  <si>
    <t>!소환 캐릭명</t>
  </si>
  <si>
    <t>예: !소환 홍길동</t>
  </si>
  <si>
    <t>!출두 캐릭명</t>
  </si>
  <si>
    <t>사용 방식은 소환과 동일합니다.</t>
  </si>
  <si>
    <t>※ 소환 시에는 파티원이 어디에 있는지 확인 후 사용하는 것이 좋습니다.</t>
  </si>
  <si>
    <t>※ 메모상 “!소환 캐릭명 입력 시 소환 창조 섹시처럼 사용하면 2명 소환 가능” 취지의 내용이 있는데, 이 부분은 실제 운영 방식에 맞춰 한 번 더 확인 후 공지에 넣는 편이 좋습니다.</t>
  </si>
  <si>
    <t>9. 기타 팁</t>
  </si>
  <si>
    <t>초반에는 버프를 무리해서 쓰기보다 레벨업과 기본 파밍에 집중하는 것이 효율적입니다.</t>
  </si>
  <si>
    <t>다중 클라이언트 플레이 시 창모드 + Alt+Tab + 키보드 조작 조합이 가장 편합니다.</t>
  </si>
  <si>
    <t>드랍이 안 보이면 Alt, F5를 먼저 확인해 보세요.</t>
  </si>
  <si>
    <t>접속시 인벤토리에서 장갑, 부츠 중 한가지를 클릭 후 다시 놓아주세요 그러면 튕기는일이 적어집니다.</t>
  </si>
  <si>
    <t>엘프, 하엘의 경우 화살 10발당 1개 소비되도록 수정되었습니다. (카운트 수량은 11시 방향 아이디 옆에 카운트가 기재됩니다)</t>
  </si>
  <si>
    <t>10. 버그 및 제보 사항</t>
  </si>
  <si>
    <t>조합 후 재접속 시 원재료 상태로 돌아가는 현상이 발생할 수 있습니다.</t>
  </si>
  <si>
    <t>해당 현상이 발생하면 바로 운영자에게 제보해 주세요.</t>
  </si>
  <si>
    <t>&lt;A HREF="index.bhelp","***돌아가기***"&gt;</t>
  </si>
  <si>
    <t>.그외 문제점들 이곳 카톡 오픈쳇에 AngelCat로 문의 남겨주세요</t>
    <phoneticPr fontId="2" type="noConversion"/>
  </si>
  <si>
    <t>by. AngelCat</t>
    <phoneticPr fontId="2" type="noConversion"/>
  </si>
  <si>
    <t>쇼트바스타드 ▶Lev:20 Str:25 Dex 15 ♥Damage:240-360</t>
  </si>
  <si>
    <t>바스타드 소드                               ♥Damage:140-205</t>
  </si>
  <si>
    <t>무딘 브로드 소드 ▶Lev:25 Str:50 Dex 10     ♥Damage:300-450</t>
  </si>
  <si>
    <t>둔탁한 브로드 소드▶Lev:30 Str:60 Dex:12    ♥Con 7 Damage 340-510</t>
  </si>
  <si>
    <t xml:space="preserve">브로드 소드 ▶Lev:35 Str:60 Dex:20          ♥Con 10 Damage:400-600 </t>
  </si>
  <si>
    <t>날카로운 브로드 소드 ▶Lev:35 Str:60 Dex 18 ♥Con 10 Damage:440-660</t>
  </si>
  <si>
    <t>대지의검  ▶Lev 60 Str 120 Dex 50 ♥Int 30 Damage:800-1200</t>
  </si>
  <si>
    <t>샴실      ▶Lev 60 Str 120 Dex 50 ♥Int 30 Damage:800-1200</t>
  </si>
  <si>
    <t>굿펠로우검▶Lev 90 Str 500 Man 80 ♥Str 30 Con 10 Damage:1200-1800</t>
  </si>
  <si>
    <t xml:space="preserve">나무지팡이   ▶Lev 5 Int 20 </t>
  </si>
  <si>
    <t xml:space="preserve">        ♥Damage:120-180 </t>
  </si>
  <si>
    <t>매직 완드    ▶Lev 15 Int 50 Wis 5      ♥Int 5 Wis 5 Damage 140-210</t>
  </si>
  <si>
    <t>머린 스태프  ▶Lev:25 Int 75 Wis 10     ♥Int 10 Damage 160-240</t>
  </si>
  <si>
    <t>모조 소울 스태프  ▶Lev 30 Int 90 Wis 27 Dex 9</t>
  </si>
  <si>
    <t xml:space="preserve">                                ♥Wis 15 Dex 10 Damage 180-270</t>
  </si>
  <si>
    <t>소울 스태프       ▶Lev 35 Int 100 Wis 40 Dex 15</t>
  </si>
  <si>
    <t xml:space="preserve">                                ♥Wis 20 Dex 10 Damage 200-300 </t>
  </si>
  <si>
    <t>낡은 소울 스태프  ▶Lev 35 Int 100 Wis 30 Dex 10</t>
  </si>
  <si>
    <t xml:space="preserve">                                ♥Wis 15 Dex 10 Damage 224-336 </t>
  </si>
  <si>
    <t>영롱한 소울 스태프▶Lev 40 Int 110 Wis 33 Dex 10</t>
  </si>
  <si>
    <t xml:space="preserve">                                ♥Wis 17 Dex 15 Damage 280-420</t>
  </si>
  <si>
    <t>매직 스태프    ▶Lev 47 Int 120 Wis 50 Dex 20</t>
  </si>
  <si>
    <t xml:space="preserve">                                ♥Int 20 Wis 20 Damage 240-360</t>
  </si>
  <si>
    <t>라프 완드      ▶Lev 54 Str 30 Int 160 Wis 50  Dex 20</t>
  </si>
  <si>
    <t xml:space="preserve">                                ♥Str 15 Int 20 Wis 25 Dex 5 Damage 280-420</t>
  </si>
  <si>
    <t>기가매직 스태프▶Lev 60 Int 200 Wis 50 Dex 30</t>
  </si>
  <si>
    <t xml:space="preserve">                                ♥Str 20 Int 30 Damage 320-480</t>
  </si>
  <si>
    <t>문스태프 - 아스트로셋 ▶ Lev:70 Int:250 Wis:75 Man 50</t>
  </si>
  <si>
    <t xml:space="preserve">                                ♥Int 30 Wis 5 Damage 440-660</t>
  </si>
  <si>
    <t>기가소울 스태프 ▶Lev 80 Int 300 Wis 100</t>
  </si>
  <si>
    <t xml:space="preserve">                                ♥Int 40 Con 30 Damage 560-840</t>
  </si>
  <si>
    <t>핸드엑스   ▶Lev 20 Str 30                       ♥Damage 200-300</t>
  </si>
  <si>
    <t>하드메이스 ▶Str 70 Con 5                       ♥Damage 232-348</t>
  </si>
  <si>
    <t xml:space="preserve">무딘 오크족도    ▶Lev 27 Str 100 </t>
  </si>
  <si>
    <t xml:space="preserve">       ♥Damage 280-420</t>
  </si>
  <si>
    <t>둔탁한 오크족도  ▶Lev 37 Str 130 Int 13 Dex 30 ♥Int 5 Damage 416-624</t>
  </si>
  <si>
    <t>오크족도         ▶Lev 45 Str 150 Int 15 Dex 50</t>
  </si>
  <si>
    <t xml:space="preserve">                                      ♥Int 10 Damage 560-840</t>
  </si>
  <si>
    <t>날카로운 오크족도▶Lev 45 Str 150 Int 15 Dex 45</t>
  </si>
  <si>
    <t xml:space="preserve">                                      ♥Int 15 Damage 680-1020</t>
  </si>
  <si>
    <t xml:space="preserve">본소드    ▶Lev 60 Str 180 Int 20 Wis 20  </t>
  </si>
  <si>
    <t xml:space="preserve">                                      ♥Int 10 Wis 10 Damage 840-1260</t>
  </si>
  <si>
    <t>오크 전사검 ▶Lev 70 Str 210 Wis 30        ♥Wis 40 Damage 960-1440</t>
  </si>
  <si>
    <t>드래곤 샤드셋 - 비늘검 ▶Lev 80 Str 310 Wis 40 Con:30</t>
  </si>
  <si>
    <t xml:space="preserve">                                          ♥Life 800 Damage 1120-1680</t>
  </si>
  <si>
    <t>네크검     ▶Str 480 Con 30 Man 80♥Str 30 Con 10 Damage 1280-1920</t>
  </si>
  <si>
    <t>샤프레이크 ▶Str 260 Wis 30 ♥Str 25 Wis 20 Damage 760-1140</t>
  </si>
  <si>
    <t>엘프 단검 ▶Lev 10 Dex 30 Con 10    ♥Damage 72-108</t>
  </si>
  <si>
    <t>엘프단도끼▶Lev 15 Str 15 Dex 30    ♥Str 10 Damage 120-180</t>
  </si>
  <si>
    <t>엘프장도끼▶Lev 25 Str 25 Dex 60    ♥Str 20 Damage 200-300</t>
  </si>
  <si>
    <t xml:space="preserve">대나무 화살   </t>
  </si>
  <si>
    <t xml:space="preserve">            ♥Damage 4-6</t>
  </si>
  <si>
    <t>쥐이빨 화살  ▶Lev 15               ♥Damage 12-18</t>
  </si>
  <si>
    <t>나무 화살    ▶Lev 25               ♥Damage 28-42</t>
  </si>
  <si>
    <t>오크발톱 화살▶Lev 35               ♥Damage 40-60</t>
  </si>
  <si>
    <t>철 화살      ▶Lev 40               ♥Damage 80-120</t>
  </si>
  <si>
    <t>달군 화살    ▶Lev 40               ♥Damage 120-180</t>
  </si>
  <si>
    <t>불 화살      ▶Lev 40               ♥Damage 160-240</t>
  </si>
  <si>
    <t>등나무 활    ▶Dex 15 Con 5         ♥Damage 76-114</t>
  </si>
  <si>
    <t>오동나무 활  ▶Dex 80 Con 20        ♥Damage 96-144</t>
  </si>
  <si>
    <t>고래힘줄 활  ▶Dex 150 Con 30       ♥Damage 297-363</t>
  </si>
  <si>
    <t>네크활       ▶Dex 180 Con 35       ♥Damage 320-480</t>
  </si>
  <si>
    <t>드래곤 힘줄활▶Dex 200 Con 40       ♥Damage 360-540</t>
  </si>
  <si>
    <t>노블리스 활  ▶Dex 450 Con 60 Man 80</t>
  </si>
  <si>
    <t xml:space="preserve">                       ♥Dex 30 Con 10 Life 950 Damage 568-852</t>
  </si>
  <si>
    <t>드래곤 날카로운 손톱 ▶Lev 30 Con 150      ♥Damage 120-180</t>
  </si>
  <si>
    <t>드래곤 예리한 손톱   ▶Lev 45 Con:235      ♥Damage 184-276</t>
  </si>
  <si>
    <t>변질된 손톱   ▶Lev 60 Con 315             ♥Damage 232-348</t>
  </si>
  <si>
    <t>변형된 손톱   ▶Lev 70 Con:365             ♥Damage 280-420</t>
  </si>
  <si>
    <t>경이로운 손톱 ▶Lev 80 Con:415             ♥Damage 328-492</t>
  </si>
  <si>
    <t>▶ 착용조건 / ♥ 착용후 / ★ 추가속성</t>
  </si>
  <si>
    <t>◆◆◆◆◆ 셋트 아이템 ◆◆◆◆◆</t>
  </si>
  <si>
    <t>○○○인간족○○○</t>
  </si>
  <si>
    <t>비쥬로브 - 크리샤오르셋</t>
  </si>
  <si>
    <t xml:space="preserve">    ▶ Lev:65 Int:350 Wis:60 Man:77</t>
  </si>
  <si>
    <t xml:space="preserve">    ♥ Int:10, Wis:15, Life:2100, Armor:340</t>
  </si>
  <si>
    <t>비쥬햇 - 크리샤오르셋</t>
  </si>
  <si>
    <t xml:space="preserve">    ▶ Lev:68 Int:370 wis:20 Man:55 </t>
  </si>
  <si>
    <t xml:space="preserve">    ♥ Wis:15, Life:850, Armor:150</t>
  </si>
  <si>
    <t>비쥬스태프 - 크리샤오르셋</t>
  </si>
  <si>
    <t xml:space="preserve">    ▶ Lev:72 Int:395  Wis:70  Man:95</t>
  </si>
  <si>
    <t xml:space="preserve">    ♥ Int:15, Damage:360~540</t>
  </si>
  <si>
    <t xml:space="preserve">    ★Armor:Mana:2500, Life:3100</t>
  </si>
  <si>
    <t xml:space="preserve">펠스타갑옷-소울셋 </t>
  </si>
  <si>
    <t xml:space="preserve">    ▶ Lev:72 Str:460 Con:25 </t>
  </si>
  <si>
    <t xml:space="preserve">    ♥ Str:20, Con:10, Armor:540</t>
  </si>
  <si>
    <t>펠스타검-소울셋</t>
  </si>
  <si>
    <t xml:space="preserve">    ▶ Lev:60 Str:305 Con:21  </t>
  </si>
  <si>
    <t xml:space="preserve">    ♥ Str:10, Damage:624~936</t>
  </si>
  <si>
    <t xml:space="preserve">    ★ Damage:820, Life:1700</t>
  </si>
  <si>
    <t>상인모 - 요정의씨앗류</t>
  </si>
  <si>
    <t xml:space="preserve">    ▶ Wis:20 Cha:250  </t>
  </si>
  <si>
    <t xml:space="preserve">    ♥ Wis:10, Cha:10, Armor:100</t>
  </si>
  <si>
    <t>상인옷 - 요정의씨앗류</t>
  </si>
  <si>
    <t xml:space="preserve">    ▶ Cha:260  </t>
  </si>
  <si>
    <t xml:space="preserve">    ♥ Wis:15, Cha:25, Armor:380</t>
  </si>
  <si>
    <t>상인방패 - 요정의씨앗류</t>
  </si>
  <si>
    <t xml:space="preserve">    ▶ Cha:280</t>
  </si>
  <si>
    <t xml:space="preserve">    ♥ Wis:20, Cha:20, Armor:550</t>
  </si>
  <si>
    <t xml:space="preserve">    ★ Armor:750, Life:1200, Stamina:1500</t>
  </si>
  <si>
    <t>○○○오크족○○○</t>
  </si>
  <si>
    <t>스톰갑옷 - 푸카셋</t>
  </si>
  <si>
    <t xml:space="preserve">    ▶ Lev:70 Str:385 Con:25 </t>
  </si>
  <si>
    <t xml:space="preserve">    ♥ Str:20, Con:10, Armor:520</t>
  </si>
  <si>
    <t>스톰투구 - 푸카셋</t>
  </si>
  <si>
    <t xml:space="preserve">    ▶ Lev:61 Str:345 Con:20 </t>
  </si>
  <si>
    <t xml:space="preserve">    ♥ Str:10, Con:5, Armor:140</t>
  </si>
  <si>
    <t>스톰검 - 푸카셋</t>
  </si>
  <si>
    <t xml:space="preserve">    ▶ Lev:45 Str:250 Con:17 </t>
  </si>
  <si>
    <t xml:space="preserve">    ♥ Str:5, Damage:436~654</t>
  </si>
  <si>
    <t xml:space="preserve">    ★ Damage:420, Life:1630</t>
  </si>
  <si>
    <t>○○○엘프족○○○</t>
  </si>
  <si>
    <t>비취슬립 - 신의 입김류</t>
  </si>
  <si>
    <t xml:space="preserve">     ▶ Lev:68 Dex:370 Con:25</t>
  </si>
  <si>
    <t xml:space="preserve">     ♥ Dex:15, Con:15, Armor:360</t>
  </si>
  <si>
    <t>비취밴드 - 신의 입김류</t>
  </si>
  <si>
    <t xml:space="preserve">     ▶ Lev:72 Dex:365 Con:25</t>
  </si>
  <si>
    <t xml:space="preserve">     ♥ dex:15, Con:15, Armor:150</t>
  </si>
  <si>
    <t>비취롱보우 - 신의 입김류</t>
  </si>
  <si>
    <t xml:space="preserve">     ▶ Dex:350 Con:20</t>
  </si>
  <si>
    <t xml:space="preserve">     ♥ Dex:10, Damage:840~1260</t>
  </si>
  <si>
    <t xml:space="preserve">     ★ Damage:600~900, Stamina:1700</t>
  </si>
  <si>
    <t>상인밴드 - 요정의씨앗류</t>
  </si>
  <si>
    <t>○○○드래곤족○○○</t>
  </si>
  <si>
    <t>영속류(靈束類) - 은무(銀霧)</t>
  </si>
  <si>
    <t xml:space="preserve">     ▶ Lev:42 Con:8</t>
  </si>
  <si>
    <t>영속류(靈束類) - 은무(銀霧)해당아이템의 속성을 갖는다</t>
  </si>
  <si>
    <t>영속류(靈束類) - 은로(銀露)</t>
  </si>
  <si>
    <t xml:space="preserve">     ▶ Lev:51 Con:12</t>
  </si>
  <si>
    <t>★ Damage:248~372, Stamina:2300</t>
  </si>
  <si>
    <t>월광로브 - 아스트로셋</t>
  </si>
  <si>
    <t xml:space="preserve">    ▶ Lev:65 Int:240 Wis:60 Man:45</t>
  </si>
  <si>
    <t xml:space="preserve">    ♥ Int:40, Wis:10, Armor:350</t>
  </si>
  <si>
    <t>월광 현자모 - 아스트로셋</t>
  </si>
  <si>
    <t xml:space="preserve">    ▶ Lev:68 Int:200 Man:48 </t>
  </si>
  <si>
    <t xml:space="preserve">    ♥ Int 30, Wis 10, Armor 45</t>
  </si>
  <si>
    <t>문스태프 - 아스트로셋</t>
  </si>
  <si>
    <t xml:space="preserve">    ▶ Lev:70 Int:250 Wis:75  Man:50</t>
  </si>
  <si>
    <t xml:space="preserve">    ♥ Int:30, Wis 5, Damage:440-660</t>
  </si>
  <si>
    <t xml:space="preserve">    ★ Armor 90, Life -950</t>
  </si>
  <si>
    <t xml:space="preserve">상아갑옷 - 트로피칼드론셋 </t>
  </si>
  <si>
    <t xml:space="preserve">    ▶ Lev:70 Str:400 Man 50</t>
  </si>
  <si>
    <t xml:space="preserve">    ♥ Str:10, Dex:3, Cha 1, Armor:510</t>
  </si>
  <si>
    <t>밀림의검 - 트로피칼드론셋</t>
  </si>
  <si>
    <t xml:space="preserve">    ▶ Lev:70 Str:420 Man 50</t>
  </si>
  <si>
    <t xml:space="preserve">    ♥ Str:10, Int 30, Cha 1, Damage:1040-1560</t>
  </si>
  <si>
    <t xml:space="preserve">    ★ Damage:338-492, Life:1450</t>
  </si>
  <si>
    <t>상인모 - 릴리퍼트셋</t>
  </si>
  <si>
    <t xml:space="preserve">    ▶ Cha:250  </t>
  </si>
  <si>
    <t xml:space="preserve">    ♥ Wis:5, Cha:15, Armor:100</t>
  </si>
  <si>
    <t>상인옷 - 릴리퍼트셋</t>
  </si>
  <si>
    <t xml:space="preserve">    ▶ Cha:280  </t>
  </si>
  <si>
    <t xml:space="preserve">    ♥ Wis:15, Cha:30, Armor:520</t>
  </si>
  <si>
    <t>상인방패 - 릴리퍼트셋</t>
  </si>
  <si>
    <t xml:space="preserve">    ▶ Cha:300</t>
  </si>
  <si>
    <t xml:space="preserve">    ♥ Wis:15, Cha:20, Armor:650</t>
  </si>
  <si>
    <t xml:space="preserve">    ★ Armor:750</t>
  </si>
  <si>
    <t>화산갑옷 - 볼카니아셋</t>
  </si>
  <si>
    <t xml:space="preserve">    ▶ Lev:70 Str:235 Con:25 Man 50</t>
  </si>
  <si>
    <t xml:space="preserve">    ♥ Str:10, Armor:515</t>
  </si>
  <si>
    <t>화산투구 - 볼카니아셋</t>
  </si>
  <si>
    <t xml:space="preserve">    ▶ Lev:73 Str:245 Con:85 Man 53</t>
  </si>
  <si>
    <t xml:space="preserve">    ♥ Int 30, Armor:160</t>
  </si>
  <si>
    <t>화산검 - 볼카니아셋</t>
  </si>
  <si>
    <t xml:space="preserve">    ▶ Lev:75 Str:255 Wis 30 Man 55</t>
  </si>
  <si>
    <t xml:space="preserve">    ♥ Damage:1080-1620</t>
  </si>
  <si>
    <t xml:space="preserve">    ★ Damage:336-504, Life:1630</t>
  </si>
  <si>
    <t>라취슬립 - 파인리프셋</t>
  </si>
  <si>
    <t xml:space="preserve">     ▶ Lev:62 Str 50 Dex:270</t>
  </si>
  <si>
    <t xml:space="preserve">     ♥ Sta 600 Armor:270</t>
  </si>
  <si>
    <t>러셋밴드 - 파인리프셋</t>
  </si>
  <si>
    <t xml:space="preserve">     ▶ Lev:60 Dex:260</t>
  </si>
  <si>
    <t xml:space="preserve">     ♥ dex:20, Armor:90</t>
  </si>
  <si>
    <t>라취롱보우 - 파인리프셋</t>
  </si>
  <si>
    <t xml:space="preserve">     ▶ Lev 65 Dex:350 Con:50</t>
  </si>
  <si>
    <t xml:space="preserve">     ♥ Life 750, Damage:460-690</t>
  </si>
  <si>
    <t xml:space="preserve">     ★ Damage:280-420, Stamina:270</t>
  </si>
  <si>
    <t>드래곤 무딘 손톱                               ♥Damage 56-84</t>
  </si>
  <si>
    <t>[펫 시스템]</t>
  </si>
  <si>
    <t>소환된 펫은 주인을 따라다니며 자동으로 아이템을 주워줍니다</t>
  </si>
  <si>
    <t>주인이 잡은 몬스터의 아이템만 주울 수 있습니다 (60초간 소유권)</t>
  </si>
  <si>
    <t>펫 버프는 소환 시 자동 적용, 해제 시 자동 해제됩니다</t>
  </si>
  <si>
    <t>새로운 펫을 뽑으면 기존 펫은 자동 해제됩니다</t>
  </si>
  <si>
    <t>채널 이동 시 펫이 자동으로 재소환됩니다</t>
  </si>
  <si>
    <t>[명령어]</t>
  </si>
  <si>
    <t>!펫 뽑기 --- 이벤트 포인트를 소모하여 랜덤 펫 획득</t>
  </si>
  <si>
    <t>!펫 소환 --- 뽑은 펫을 소환</t>
  </si>
  <si>
    <t>!펫 해제 --- 소환된 펫을 해제</t>
  </si>
  <si>
    <t>!펫 보이기 - 다른 플레이어에게 펫 표시</t>
  </si>
  <si>
    <t>!펫 가리기 - 다른 플레이어에게 펫 숨기기</t>
  </si>
  <si>
    <t>[등급별 확률]</t>
  </si>
  <si>
    <t>SSS --- 0.01%</t>
  </si>
  <si>
    <t>SS ---- 0.99%</t>
  </si>
  <si>
    <t>S ----- 9%</t>
  </si>
  <si>
    <t>A ----- 20%</t>
  </si>
  <si>
    <t>B ----- 70%</t>
  </si>
  <si>
    <t>[펫 목록]</t>
  </si>
  <si>
    <t xml:space="preserve">  ▒ SSS등급 ▒</t>
  </si>
  <si>
    <t>▷ 작은드래곤 ◁</t>
  </si>
  <si>
    <t>- 공격력+15%, 크리확률+10%, 크리뎀+30%, 피해감소+8%, 경험치+8%, STR+30</t>
  </si>
  <si>
    <t>▷ 우크바흐 ◁</t>
  </si>
  <si>
    <t>- 공격력+12%, 경험치+12%, 골드+12%, 드랍+10%, 펫상점, DEX+30</t>
  </si>
  <si>
    <t>▷ 어둠의전사 ◁</t>
  </si>
  <si>
    <t>- 공격력+15%, 크리확률+8%, 크리뎀+35%, 경험치+10%, 버프지속+30%, INT+30</t>
  </si>
  <si>
    <t>▷ 작은벌 ◁</t>
  </si>
  <si>
    <t>- 피해감소+15%, 공격력+10%, 강화2단확률+10%, 경험치+10%, 파괴방지+25%, CON+30</t>
  </si>
  <si>
    <t xml:space="preserve">▷ 토이박스 ◁ </t>
  </si>
  <si>
    <t>- 공격력+12%, 강화확률+5%, 강화2단확률+8%, 파괴방지+25%, 경험치+10%, WIS+30</t>
  </si>
  <si>
    <t>▷ 살라만드라 ◁</t>
  </si>
  <si>
    <t>- 공격력+12%, 크리확률+12%, 크리뎀+40%, 드랍+10%, 골드+8%, CHA+30</t>
  </si>
  <si>
    <t xml:space="preserve">  ▒ SS등급 ▒ </t>
  </si>
  <si>
    <t>▷ 토끼 ◁</t>
  </si>
  <si>
    <t>- 공격력+10%, 크리확률+7%, 크리뎀+25%, 피해감소+5%, STR+20</t>
  </si>
  <si>
    <t>▷ 팀버 ◁</t>
  </si>
  <si>
    <t>- 공격력+10%, 크리확률+10%, 크리뎀+30%, 드랍+5%, DEX+20</t>
  </si>
  <si>
    <t>▷ 젖소 ◁</t>
  </si>
  <si>
    <t>- 공격력+8%, 경험치+8%, 크리확률+5%, 크리뎀+20%, INT+20</t>
  </si>
  <si>
    <t>▷ 작은리자드 ◁</t>
  </si>
  <si>
    <t>- 피해감소+10%, 파괴방지+15%, 강화확률+2%, 강화2단확률+5%, CON+20</t>
  </si>
  <si>
    <t>▷ 늑대 ◁</t>
  </si>
  <si>
    <t>- 경험치+10%, 드랍+8%, 강화확률+3%, 강화2단확률+5%, WIS+20</t>
  </si>
  <si>
    <t>▷ 미노타우르스 ◁</t>
  </si>
  <si>
    <t>- 크리확률+8%, 크리뎀+30%, 버프지속+20%, 강화2단확률+5%, CHA+20</t>
  </si>
  <si>
    <t xml:space="preserve">  ▒ S등급 ▒ </t>
  </si>
  <si>
    <t>▷ 벌 ◁</t>
  </si>
  <si>
    <t>- 공격력+8%, 크리확률+5%, 크리뎀+20%, STR+15</t>
  </si>
  <si>
    <t>▷ 피드 ◁</t>
  </si>
  <si>
    <t>- 경험치+8%, 드랍+5%, 줍기범위+3, DEX+15</t>
  </si>
  <si>
    <t>▷ 데블 ◁</t>
  </si>
  <si>
    <t>- 공격력+5%, 경험치+5%, 버프지속+15%, INT+15</t>
  </si>
  <si>
    <t>▷ 호그 ◁</t>
  </si>
  <si>
    <t>- 피해감소+8%, 골드+8%, 강화확률+2%, CON+15</t>
  </si>
  <si>
    <t>▷ 박쥐 ◁</t>
  </si>
  <si>
    <t>- 경험치+8%, 버프지속+15%, 줍기범위+3, WIS+15</t>
  </si>
  <si>
    <t xml:space="preserve">▷ 왕집게 ◁ </t>
  </si>
  <si>
    <t>- 강화확률+2%, 강화비용-20%, 교환수수료-2%, CHA+15</t>
  </si>
  <si>
    <t xml:space="preserve">  ▒ A등급 ▒</t>
  </si>
  <si>
    <t>▷ 드래곤 ◁</t>
  </si>
  <si>
    <t>- 공격력+5%, 피해감소+3%, STR+10</t>
  </si>
  <si>
    <t>▷ 강아지 ◁</t>
  </si>
  <si>
    <t>- 경험치+7%, 골드+5%, WIS+10</t>
  </si>
  <si>
    <t>▷ 크리스마스팀버 ◁</t>
  </si>
  <si>
    <t>- 골드+10%, 드랍+3%, CHA+10</t>
  </si>
  <si>
    <t>▷ 오르쿠스 ◁</t>
  </si>
  <si>
    <t>-  공격력+3%, 경험치+3%, CON+10</t>
  </si>
  <si>
    <t>▷ 오크 ◁</t>
  </si>
  <si>
    <t>- 교환수수료-2%, 강화비용-15%, INT+10</t>
  </si>
  <si>
    <t>▷ 오크마법사 ◁</t>
  </si>
  <si>
    <t>- 공격력+5%, 줍기범위+2, DEX+10</t>
  </si>
  <si>
    <t xml:space="preserve">  ▒ B등급 ▒</t>
  </si>
  <si>
    <t>▷ 킹해골 ◁</t>
  </si>
  <si>
    <t>- 골드+5%, CHA+5</t>
  </si>
  <si>
    <t>▷ 킹미노 ◁</t>
  </si>
  <si>
    <t>- 드랍+3%, DEX+5</t>
  </si>
  <si>
    <t>▷ 킹오크 ◁</t>
  </si>
  <si>
    <t>- 경험치+3%, INT+5</t>
  </si>
  <si>
    <t>▷ 파이어오크 ◁</t>
  </si>
  <si>
    <t>- 줍기범위+2, CON+5</t>
  </si>
  <si>
    <t>▷ 이구아나 ◁</t>
  </si>
  <si>
    <t>- 피해감소+3%, STR+5</t>
  </si>
  <si>
    <t>▷ 스카랍 ◁</t>
  </si>
  <si>
    <t>- 강화비용-10%, WIS+5</t>
  </si>
  <si>
    <t>#제련기술서p#</t>
  </si>
  <si>
    <t>1,2</t>
  </si>
  <si>
    <t>카노비어-트렌트</t>
  </si>
  <si>
    <t>3,4</t>
  </si>
  <si>
    <t>아르니안-늑대</t>
  </si>
  <si>
    <t>언더루인3층(45존)-해골전사</t>
  </si>
  <si>
    <t>시드왕2층-해골전사</t>
  </si>
  <si>
    <t>언더루인1층(40존)-해골전사</t>
  </si>
  <si>
    <t>보석광산(35존)-해골전사</t>
  </si>
  <si>
    <t>시드왕2층-코볼트</t>
  </si>
  <si>
    <t>시드왕3층-트롤,페르거스</t>
  </si>
  <si>
    <t>#세공기술서p#</t>
  </si>
  <si>
    <t>1,8p</t>
  </si>
  <si>
    <t>미노던젼(40존)-미노타우르스</t>
  </si>
  <si>
    <t>1,2p</t>
  </si>
  <si>
    <t>그린빌리지-트렌트</t>
  </si>
  <si>
    <t>2p</t>
  </si>
  <si>
    <t>언더루인-트렌트</t>
  </si>
  <si>
    <t>파이어베이신(20존)-작은리자드,트렌트</t>
  </si>
  <si>
    <t>샌드무어-작은리자드</t>
  </si>
  <si>
    <t>3,4p</t>
  </si>
  <si>
    <t>카노비어,샌드무어-리자드</t>
  </si>
  <si>
    <t>5,6p</t>
  </si>
  <si>
    <t>광산던전(30존)-파이어오크</t>
  </si>
  <si>
    <t>보석광산(35존)-파이어오크</t>
  </si>
  <si>
    <t>오크전사던전(50존)-오크</t>
  </si>
  <si>
    <t>파이어비이신(20존)-스카랍</t>
  </si>
  <si>
    <t>오크전사던전(50존)-오르쿠스</t>
  </si>
  <si>
    <t>샌드무어-돌골렘</t>
  </si>
  <si>
    <t>미스틱레이크(40존)-늑대인간</t>
  </si>
  <si>
    <t>미노던전(40존)-미노타우르스</t>
  </si>
  <si>
    <t>보석광산(35존)-코볼트</t>
  </si>
  <si>
    <t>오크전사던전(50존)-킹오크</t>
  </si>
  <si>
    <t>작은드래곤던전(60존)-코볼트</t>
  </si>
  <si>
    <t>화산지대(50존)-코볼트</t>
  </si>
  <si>
    <t>#판금기술서p#</t>
  </si>
  <si>
    <t>아르니안-벌</t>
  </si>
  <si>
    <t>버그던전(20존)-벌</t>
  </si>
  <si>
    <t>그린빌리지-벌</t>
  </si>
  <si>
    <t>파이어베이신(20존)-스카랍</t>
  </si>
  <si>
    <t>5,6</t>
  </si>
  <si>
    <t>미스틱레이크(40존)-살라만드라</t>
  </si>
  <si>
    <t>작은드레곤던전(60존)-킹해골</t>
  </si>
  <si>
    <t>언더풋하우스-미노우타우르스</t>
  </si>
  <si>
    <t>#화공기술p#</t>
  </si>
  <si>
    <t>버그던전(20존)-쥐전갈</t>
  </si>
  <si>
    <t>광산던전(30존)-쥐전갈</t>
  </si>
  <si>
    <t>언더루인3층(45존)-쥐전갈</t>
  </si>
  <si>
    <t>파이어베이신(20존)-쥐전갈</t>
  </si>
  <si>
    <t>샌드무어시티-쥐전갈</t>
  </si>
  <si>
    <t>카노비어-숲의원정사</t>
  </si>
  <si>
    <t>언더루인 2층(45존)-숲의원정사</t>
  </si>
  <si>
    <t>파이어베이신(20존)-숲의원정사</t>
  </si>
  <si>
    <t>아르니안-호그</t>
  </si>
  <si>
    <t>카노비어-오크마법사,다크엘프</t>
  </si>
  <si>
    <t>언더루인 3층(45존)-코볼트</t>
  </si>
  <si>
    <t>#제본기술p#</t>
    <phoneticPr fontId="2" type="noConversion"/>
  </si>
  <si>
    <t>1,2</t>
    <phoneticPr fontId="2" type="noConversion"/>
  </si>
  <si>
    <t>샌드무어시티-왕집게</t>
    <phoneticPr fontId="2" type="noConversion"/>
  </si>
  <si>
    <t>샌드무어시티-이구아나</t>
    <phoneticPr fontId="2" type="noConversion"/>
  </si>
  <si>
    <t>파이어베이신(20존)-이구아나</t>
    <phoneticPr fontId="2" type="noConversion"/>
  </si>
  <si>
    <t>3,4</t>
    <phoneticPr fontId="2" type="noConversion"/>
  </si>
  <si>
    <t>연금술사의방-박쥐</t>
    <phoneticPr fontId="2" type="noConversion"/>
  </si>
  <si>
    <t>광산던전(30존)-이구아나</t>
    <phoneticPr fontId="2" type="noConversion"/>
  </si>
  <si>
    <t>오크전사던전(50존)-왕집게</t>
    <phoneticPr fontId="2" type="noConversion"/>
  </si>
  <si>
    <t>그린빌리지-좀비</t>
    <phoneticPr fontId="2" type="noConversion"/>
  </si>
  <si>
    <t>5,6</t>
    <phoneticPr fontId="2" type="noConversion"/>
  </si>
  <si>
    <t>아르니안-좀비(6)</t>
    <phoneticPr fontId="2" type="noConversion"/>
  </si>
  <si>
    <t>7,</t>
    <phoneticPr fontId="2" type="noConversion"/>
  </si>
  <si>
    <t>미노던전(40존)-고블린스토커</t>
    <phoneticPr fontId="2" type="noConversion"/>
  </si>
  <si>
    <t>버그던전(20존)-왕집게(5)</t>
    <phoneticPr fontId="2" type="noConversion"/>
  </si>
  <si>
    <t>버그던전(20존)-박쥐(6)</t>
    <phoneticPr fontId="2" type="noConversion"/>
  </si>
  <si>
    <t>8,</t>
    <phoneticPr fontId="2" type="noConversion"/>
  </si>
  <si>
    <t>오크전사던전(50존)-오크마법사</t>
    <phoneticPr fontId="2" type="noConversion"/>
  </si>
  <si>
    <t xml:space="preserve"> 5     85레벨  제본기술서    Forgatten    CHA:340  / WIS:95 / 150,000</t>
    <phoneticPr fontId="2" type="noConversion"/>
  </si>
  <si>
    <t>헬멧</t>
    <phoneticPr fontId="5" type="noConversion"/>
  </si>
  <si>
    <t>능력치</t>
    <phoneticPr fontId="5" type="noConversion"/>
  </si>
  <si>
    <t>목걸이</t>
    <phoneticPr fontId="5" type="noConversion"/>
  </si>
  <si>
    <t>ＳＴＲ</t>
  </si>
  <si>
    <t>ＩＮＴ</t>
  </si>
  <si>
    <t>ＷＩＳ</t>
  </si>
  <si>
    <t>ＤＥＸ</t>
  </si>
  <si>
    <t>ＣＯＮ</t>
  </si>
  <si>
    <t>ＣＨＡ</t>
  </si>
  <si>
    <t>ARMOR</t>
    <phoneticPr fontId="5" type="noConversion"/>
  </si>
  <si>
    <t>무기</t>
    <phoneticPr fontId="5" type="noConversion"/>
  </si>
  <si>
    <t>갑옷</t>
    <phoneticPr fontId="5" type="noConversion"/>
  </si>
  <si>
    <t>방패</t>
    <phoneticPr fontId="5" type="noConversion"/>
  </si>
  <si>
    <t>보석</t>
    <phoneticPr fontId="5" type="noConversion"/>
  </si>
  <si>
    <t>[순수]</t>
    <phoneticPr fontId="5" type="noConversion"/>
  </si>
  <si>
    <t>[아이템포함]</t>
    <phoneticPr fontId="5" type="noConversion"/>
  </si>
  <si>
    <t>남은능력치</t>
    <phoneticPr fontId="5" type="noConversion"/>
  </si>
  <si>
    <t>링</t>
    <phoneticPr fontId="5" type="noConversion"/>
  </si>
  <si>
    <t>벨트</t>
    <phoneticPr fontId="5" type="noConversion"/>
  </si>
  <si>
    <t>장갑</t>
    <phoneticPr fontId="5" type="noConversion"/>
  </si>
  <si>
    <t>레벨</t>
    <phoneticPr fontId="5" type="noConversion"/>
  </si>
  <si>
    <t>SHIELD 7</t>
    <phoneticPr fontId="5" type="noConversion"/>
  </si>
  <si>
    <t>+ HP</t>
    <phoneticPr fontId="5" type="noConversion"/>
  </si>
  <si>
    <t>+ MANA</t>
    <phoneticPr fontId="5" type="noConversion"/>
  </si>
  <si>
    <t>+ STAMINA</t>
    <phoneticPr fontId="5" type="noConversion"/>
  </si>
  <si>
    <t>신발</t>
    <phoneticPr fontId="5" type="noConversion"/>
  </si>
  <si>
    <t>인간[남]</t>
    <phoneticPr fontId="5" type="noConversion"/>
  </si>
  <si>
    <t>오크</t>
    <phoneticPr fontId="5" type="noConversion"/>
  </si>
  <si>
    <t>드래곤</t>
    <phoneticPr fontId="5" type="noConversion"/>
  </si>
  <si>
    <t>HP</t>
    <phoneticPr fontId="5" type="noConversion"/>
  </si>
  <si>
    <t>MANA</t>
    <phoneticPr fontId="5" type="noConversion"/>
  </si>
  <si>
    <t>STAMINA</t>
    <phoneticPr fontId="5" type="noConversion"/>
  </si>
  <si>
    <t>인간[여]</t>
    <phoneticPr fontId="5" type="noConversion"/>
  </si>
  <si>
    <t>엘프</t>
    <phoneticPr fontId="5" type="noConversion"/>
  </si>
  <si>
    <t>하프엘프</t>
    <phoneticPr fontId="5" type="noConversion"/>
  </si>
  <si>
    <t>마을 !베르 , !그린 5,000레블</t>
    <phoneticPr fontId="2" type="noConversion"/>
  </si>
  <si>
    <t>!아이템뽑기 (횟수) 하루 3회 무료 , 펫 해제 해야함</t>
    <phoneticPr fontId="2" type="noConversion"/>
  </si>
  <si>
    <t>!강강경치 5분 9만원 30%</t>
    <phoneticPr fontId="2" type="noConversion"/>
  </si>
  <si>
    <t xml:space="preserve">※ !공업 !강공업 중첩 안됨.. </t>
    <phoneticPr fontId="2" type="noConversion"/>
  </si>
  <si>
    <t xml:space="preserve">    !공업 5 + !공업 10 하면 시간은 중첩됨</t>
    <phoneticPr fontId="2" type="noConversion"/>
  </si>
  <si>
    <t>!펫 --- 현재 펫 등급 및 이름</t>
    <phoneticPr fontId="2" type="noConversion"/>
  </si>
  <si>
    <t xml:space="preserve">!버프 - 현재 펫 버프 </t>
    <phoneticPr fontId="2" type="noConversion"/>
  </si>
  <si>
    <t xml:space="preserve">!로또 (번호), !로또 자동(횟수) 최대5회,  매시간 정시 추첨 1~1000 까지 </t>
    <phoneticPr fontId="2" type="noConversion"/>
  </si>
  <si>
    <t>▨▨ 샤펀웨폰(Sharpen Weapon) ▨▨</t>
  </si>
  <si>
    <t>공격력을 강화합니다.</t>
  </si>
  <si>
    <t>1레벨:● Dex : 233</t>
  </si>
  <si>
    <t xml:space="preserve">     ◆ 3만레블/마법책(Sharpen Weapon)/비드스트링 마나소모:300 </t>
  </si>
  <si>
    <t xml:space="preserve">      ★지속시간 300sec</t>
  </si>
  <si>
    <t>2레벨:● Dex : 300</t>
  </si>
  <si>
    <t xml:space="preserve">     ◆ 10만레블/마법책(Sharpen Weapon)/디어스트링 마나소모:500 </t>
  </si>
  <si>
    <t xml:space="preserve">      ★지속시간 600sec</t>
  </si>
  <si>
    <t>3레벨:● Dex : 340</t>
  </si>
  <si>
    <t xml:space="preserve">     ◆ 15만레블/마법책(Sharpen Weapon)/후드(하프엘프) 마나소모:700</t>
  </si>
  <si>
    <t xml:space="preserve">      ★지속시간 900sec</t>
  </si>
  <si>
    <t>4레벨:● Dex : 400</t>
  </si>
  <si>
    <t xml:space="preserve">     ◆ 20만레블/마법책(Sharpen Weapon)/화려한왕관(하프엘프) 마나소모:900 </t>
  </si>
  <si>
    <t xml:space="preserve">      ★지속시간 1200sec</t>
  </si>
  <si>
    <t>5레벨:● Dex : 450</t>
  </si>
  <si>
    <t xml:space="preserve">     ◆ 25만레블/마법책(Sharpen Weapon)/바이올렛밴드(하프엘프) 마나소모:1100 </t>
  </si>
  <si>
    <t xml:space="preserve">      ★지속시간 1500sec</t>
  </si>
  <si>
    <t>6레벨:● Dex : 500</t>
  </si>
  <si>
    <t xml:space="preserve">     ◆ 30만레블/마법책(Sharpen Weapon)/더블헤어넷(하프엘프) 마나소모:1300 </t>
  </si>
  <si>
    <t xml:space="preserve">      ★지속시간 1800sec</t>
  </si>
  <si>
    <t>7레벨:● Dex : 550</t>
  </si>
  <si>
    <t xml:space="preserve">     ◆ 35만레블/마법책(Sharpen Weapon)/크리스마스모자(하프엘프) 마나소모:1500</t>
  </si>
  <si>
    <t xml:space="preserve">      ★지속시간 2100sec</t>
  </si>
  <si>
    <t xml:space="preserve">     ◆ 5만레블/마법책(shield)/프레이즈 마나소모:300 </t>
  </si>
  <si>
    <t xml:space="preserve">     ◆ 10만레블/마법책(shield)/커닐리언 마나소모:500 </t>
  </si>
  <si>
    <t xml:space="preserve">     ◆ 15만레블/마법책(shield)/밀키쿼츠 마나소모:700</t>
  </si>
  <si>
    <t xml:space="preserve">     ◆ 20만레블/마법책(shield)/토멀린 마나소모:900 </t>
  </si>
  <si>
    <t xml:space="preserve">     ◆ 25만레블/마법책(shield)/토멀린 마나소모:1100 </t>
  </si>
  <si>
    <t xml:space="preserve">     ◆ 30만레블/마법책(shield)/사드 마나소모:1300 </t>
  </si>
  <si>
    <t xml:space="preserve">     ◆ 35만레블/마법책(shield)/로즈쿼츠 마나소모:1500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</si>
</sst>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212529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color rgb="FF212529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0"/>
      <color indexed="48"/>
      <name val="돋움"/>
      <family val="3"/>
      <charset val="129"/>
    </font>
    <font>
      <sz val="10"/>
      <color indexed="57"/>
      <name val="돋움"/>
      <family val="3"/>
      <charset val="129"/>
    </font>
    <font>
      <sz val="10"/>
      <color indexed="8"/>
      <name val="돋움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/>
      <diagonal/>
    </border>
    <border>
      <left style="dott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thick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/>
      <bottom style="thick">
        <color indexed="64"/>
      </bottom>
      <diagonal/>
    </border>
    <border>
      <left style="dotted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dotted">
        <color indexed="64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/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" fillId="9" borderId="18" applyNumberFormat="0" applyFont="0" applyAlignment="0" applyProtection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41" fontId="0" fillId="0" borderId="1" xfId="1" applyFont="1" applyBorder="1" applyAlignment="1">
      <alignment horizontal="center" vertical="center"/>
    </xf>
    <xf numFmtId="43" fontId="4" fillId="0" borderId="0" xfId="2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4" fillId="0" borderId="0" xfId="3">
      <alignment vertical="center"/>
    </xf>
    <xf numFmtId="0" fontId="4" fillId="0" borderId="0" xfId="3" applyAlignment="1">
      <alignment horizontal="center" vertical="center"/>
    </xf>
    <xf numFmtId="0" fontId="4" fillId="3" borderId="0" xfId="3" applyFill="1" applyAlignment="1">
      <alignment horizontal="center" vertical="center"/>
    </xf>
    <xf numFmtId="43" fontId="4" fillId="3" borderId="0" xfId="2" applyFill="1" applyAlignment="1">
      <alignment horizontal="center" vertical="center"/>
    </xf>
    <xf numFmtId="43" fontId="4" fillId="2" borderId="0" xfId="2" applyFill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4" fillId="3" borderId="1" xfId="3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41" fontId="3" fillId="0" borderId="1" xfId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11" fillId="0" borderId="0" xfId="4" applyNumberFormat="1" applyFont="1" applyAlignment="1">
      <alignment horizontal="center" vertical="center"/>
    </xf>
    <xf numFmtId="176" fontId="12" fillId="0" borderId="0" xfId="4" applyNumberFormat="1" applyFont="1" applyAlignment="1">
      <alignment horizontal="center" vertical="center"/>
    </xf>
    <xf numFmtId="176" fontId="13" fillId="0" borderId="0" xfId="4" applyNumberFormat="1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76" fontId="11" fillId="0" borderId="0" xfId="4" quotePrefix="1" applyNumberFormat="1" applyFont="1" applyAlignment="1">
      <alignment horizontal="center" vertical="center"/>
    </xf>
    <xf numFmtId="176" fontId="11" fillId="0" borderId="0" xfId="4" applyNumberFormat="1" applyFont="1" applyAlignment="1">
      <alignment horizontal="left" vertical="center"/>
    </xf>
    <xf numFmtId="176" fontId="14" fillId="0" borderId="0" xfId="4" applyNumberFormat="1" applyFont="1" applyAlignment="1">
      <alignment horizontal="center" vertical="center"/>
    </xf>
    <xf numFmtId="176" fontId="11" fillId="0" borderId="2" xfId="4" applyNumberFormat="1" applyFont="1" applyBorder="1" applyAlignment="1">
      <alignment horizontal="center" vertical="center"/>
    </xf>
    <xf numFmtId="176" fontId="11" fillId="0" borderId="3" xfId="4" applyNumberFormat="1" applyFont="1" applyBorder="1" applyAlignment="1">
      <alignment horizontal="center" vertical="center"/>
    </xf>
    <xf numFmtId="176" fontId="11" fillId="0" borderId="4" xfId="4" applyNumberFormat="1" applyFont="1" applyBorder="1" applyAlignment="1">
      <alignment horizontal="center" vertical="center"/>
    </xf>
    <xf numFmtId="176" fontId="11" fillId="0" borderId="5" xfId="4" applyNumberFormat="1" applyFont="1" applyBorder="1" applyAlignment="1">
      <alignment horizontal="center" vertical="center"/>
    </xf>
    <xf numFmtId="176" fontId="11" fillId="0" borderId="6" xfId="4" applyNumberFormat="1" applyFont="1" applyBorder="1" applyAlignment="1">
      <alignment horizontal="center" vertical="center"/>
    </xf>
    <xf numFmtId="176" fontId="11" fillId="0" borderId="7" xfId="4" applyNumberFormat="1" applyFont="1" applyBorder="1" applyAlignment="1">
      <alignment horizontal="center" vertical="center"/>
    </xf>
    <xf numFmtId="176" fontId="11" fillId="0" borderId="8" xfId="4" applyNumberFormat="1" applyFont="1" applyBorder="1" applyAlignment="1">
      <alignment horizontal="center" vertical="center"/>
    </xf>
    <xf numFmtId="176" fontId="11" fillId="0" borderId="9" xfId="4" applyNumberFormat="1" applyFont="1" applyBorder="1" applyAlignment="1">
      <alignment horizontal="center" vertical="center"/>
    </xf>
    <xf numFmtId="176" fontId="11" fillId="0" borderId="10" xfId="4" applyNumberFormat="1" applyFont="1" applyBorder="1" applyAlignment="1">
      <alignment horizontal="center" vertical="center"/>
    </xf>
    <xf numFmtId="176" fontId="11" fillId="0" borderId="11" xfId="4" applyNumberFormat="1" applyFont="1" applyBorder="1" applyAlignment="1">
      <alignment horizontal="center" vertical="center"/>
    </xf>
    <xf numFmtId="176" fontId="11" fillId="0" borderId="12" xfId="4" applyNumberFormat="1" applyFont="1" applyBorder="1" applyAlignment="1">
      <alignment horizontal="center" vertical="center"/>
    </xf>
    <xf numFmtId="176" fontId="11" fillId="0" borderId="13" xfId="4" applyNumberFormat="1" applyFont="1" applyBorder="1" applyAlignment="1">
      <alignment horizontal="center" vertical="center"/>
    </xf>
    <xf numFmtId="176" fontId="11" fillId="0" borderId="14" xfId="4" applyNumberFormat="1" applyFont="1" applyBorder="1" applyAlignment="1">
      <alignment horizontal="center" vertical="center"/>
    </xf>
    <xf numFmtId="176" fontId="11" fillId="0" borderId="15" xfId="4" applyNumberFormat="1" applyFont="1" applyBorder="1" applyAlignment="1">
      <alignment horizontal="center" vertical="center"/>
    </xf>
    <xf numFmtId="176" fontId="11" fillId="0" borderId="16" xfId="4" applyNumberFormat="1" applyFont="1" applyBorder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7" fillId="7" borderId="1" xfId="7" applyBorder="1" applyAlignment="1">
      <alignment horizontal="center" vertical="center"/>
    </xf>
    <xf numFmtId="0" fontId="15" fillId="5" borderId="1" xfId="5" applyBorder="1" applyAlignment="1">
      <alignment horizontal="center" vertical="center"/>
    </xf>
    <xf numFmtId="0" fontId="16" fillId="6" borderId="0" xfId="6">
      <alignment vertical="center"/>
    </xf>
    <xf numFmtId="0" fontId="0" fillId="9" borderId="18" xfId="9" applyFont="1">
      <alignment vertical="center"/>
    </xf>
    <xf numFmtId="0" fontId="15" fillId="5" borderId="0" xfId="5">
      <alignment vertical="center"/>
    </xf>
    <xf numFmtId="0" fontId="17" fillId="7" borderId="0" xfId="7">
      <alignment vertical="center"/>
    </xf>
    <xf numFmtId="0" fontId="18" fillId="8" borderId="17" xfId="8">
      <alignment vertical="center"/>
    </xf>
  </cellXfs>
  <cellStyles count="10">
    <cellStyle name="계산" xfId="8" builtinId="22"/>
    <cellStyle name="나쁨" xfId="6" builtinId="27"/>
    <cellStyle name="메모" xfId="9" builtinId="10"/>
    <cellStyle name="보통" xfId="7" builtinId="28"/>
    <cellStyle name="쉼표 [0]" xfId="1" builtinId="6"/>
    <cellStyle name="쉼표 2" xfId="2" xr:uid="{A7589015-768F-409C-80E9-A9CFF4F611C0}"/>
    <cellStyle name="좋음" xfId="5" builtinId="26"/>
    <cellStyle name="표준" xfId="0" builtinId="0"/>
    <cellStyle name="표준 2" xfId="3" xr:uid="{268D11D6-2BEE-4BA8-A987-225910448157}"/>
    <cellStyle name="표준 3" xfId="4" xr:uid="{C1FFA11F-C088-4887-9F4F-3C26F68B0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9525</xdr:rowOff>
    </xdr:from>
    <xdr:to>
      <xdr:col>13</xdr:col>
      <xdr:colOff>210154</xdr:colOff>
      <xdr:row>22</xdr:row>
      <xdr:rowOff>613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1AEDD96-DBF3-F31B-7A89-EABA5FFE3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219075"/>
          <a:ext cx="4324954" cy="4391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EC57-8A14-409F-8F7C-43FB479B05FF}">
  <dimension ref="B2:Q65"/>
  <sheetViews>
    <sheetView zoomScale="85" zoomScaleNormal="85" workbookViewId="0">
      <selection activeCell="R39" sqref="R39"/>
    </sheetView>
  </sheetViews>
  <sheetFormatPr defaultRowHeight="17" x14ac:dyDescent="0.45"/>
  <sheetData>
    <row r="2" spans="2:17" x14ac:dyDescent="0.45">
      <c r="B2" t="s">
        <v>1988</v>
      </c>
      <c r="K2" t="s">
        <v>1966</v>
      </c>
    </row>
    <row r="3" spans="2:17" x14ac:dyDescent="0.45">
      <c r="B3" t="s">
        <v>1917</v>
      </c>
      <c r="K3" t="s">
        <v>1967</v>
      </c>
      <c r="Q3" t="s">
        <v>2362</v>
      </c>
    </row>
    <row r="4" spans="2:17" x14ac:dyDescent="0.45">
      <c r="B4" t="s">
        <v>1916</v>
      </c>
      <c r="K4" t="s">
        <v>1968</v>
      </c>
      <c r="Q4" t="s">
        <v>2368</v>
      </c>
    </row>
    <row r="5" spans="2:17" x14ac:dyDescent="0.45">
      <c r="K5" t="s">
        <v>1969</v>
      </c>
    </row>
    <row r="6" spans="2:17" x14ac:dyDescent="0.45">
      <c r="B6" t="s">
        <v>1918</v>
      </c>
      <c r="K6" t="s">
        <v>2361</v>
      </c>
    </row>
    <row r="7" spans="2:17" x14ac:dyDescent="0.45">
      <c r="B7" t="s">
        <v>1919</v>
      </c>
    </row>
    <row r="8" spans="2:17" x14ac:dyDescent="0.45">
      <c r="B8" t="s">
        <v>1920</v>
      </c>
      <c r="K8" t="s">
        <v>1970</v>
      </c>
    </row>
    <row r="9" spans="2:17" x14ac:dyDescent="0.45">
      <c r="B9" t="s">
        <v>1921</v>
      </c>
      <c r="K9" t="s">
        <v>1971</v>
      </c>
    </row>
    <row r="10" spans="2:17" x14ac:dyDescent="0.45">
      <c r="B10" t="s">
        <v>1922</v>
      </c>
      <c r="K10" t="s">
        <v>1972</v>
      </c>
    </row>
    <row r="11" spans="2:17" x14ac:dyDescent="0.45">
      <c r="B11" t="s">
        <v>1923</v>
      </c>
      <c r="K11" t="s">
        <v>1973</v>
      </c>
    </row>
    <row r="12" spans="2:17" x14ac:dyDescent="0.45">
      <c r="B12" t="s">
        <v>1924</v>
      </c>
      <c r="K12" t="s">
        <v>1974</v>
      </c>
    </row>
    <row r="13" spans="2:17" x14ac:dyDescent="0.45">
      <c r="B13" t="s">
        <v>1925</v>
      </c>
    </row>
    <row r="14" spans="2:17" x14ac:dyDescent="0.45">
      <c r="B14" t="s">
        <v>1926</v>
      </c>
      <c r="K14" t="s">
        <v>1975</v>
      </c>
    </row>
    <row r="15" spans="2:17" x14ac:dyDescent="0.45">
      <c r="K15" t="s">
        <v>1976</v>
      </c>
    </row>
    <row r="16" spans="2:17" x14ac:dyDescent="0.45">
      <c r="B16" t="s">
        <v>1927</v>
      </c>
    </row>
    <row r="17" spans="2:11" x14ac:dyDescent="0.45">
      <c r="B17" t="s">
        <v>1928</v>
      </c>
      <c r="K17" t="s">
        <v>1977</v>
      </c>
    </row>
    <row r="18" spans="2:11" x14ac:dyDescent="0.45">
      <c r="B18" t="s">
        <v>1929</v>
      </c>
      <c r="K18" t="s">
        <v>1978</v>
      </c>
    </row>
    <row r="19" spans="2:11" x14ac:dyDescent="0.45">
      <c r="K19" t="s">
        <v>1979</v>
      </c>
    </row>
    <row r="20" spans="2:11" x14ac:dyDescent="0.45">
      <c r="B20" t="s">
        <v>1930</v>
      </c>
      <c r="K20" t="s">
        <v>1980</v>
      </c>
    </row>
    <row r="21" spans="2:11" x14ac:dyDescent="0.45">
      <c r="B21" t="s">
        <v>1931</v>
      </c>
      <c r="K21" t="s">
        <v>1981</v>
      </c>
    </row>
    <row r="22" spans="2:11" x14ac:dyDescent="0.45">
      <c r="B22" t="s">
        <v>1932</v>
      </c>
      <c r="K22" t="s">
        <v>1982</v>
      </c>
    </row>
    <row r="24" spans="2:11" x14ac:dyDescent="0.45">
      <c r="B24" t="s">
        <v>1933</v>
      </c>
      <c r="K24" t="s">
        <v>1983</v>
      </c>
    </row>
    <row r="25" spans="2:11" x14ac:dyDescent="0.45">
      <c r="K25" t="s">
        <v>1984</v>
      </c>
    </row>
    <row r="26" spans="2:11" x14ac:dyDescent="0.45">
      <c r="B26" t="s">
        <v>1934</v>
      </c>
      <c r="K26" t="s">
        <v>1985</v>
      </c>
    </row>
    <row r="27" spans="2:11" x14ac:dyDescent="0.45">
      <c r="B27" t="s">
        <v>1935</v>
      </c>
    </row>
    <row r="28" spans="2:11" x14ac:dyDescent="0.45">
      <c r="K28" t="s">
        <v>1987</v>
      </c>
    </row>
    <row r="29" spans="2:11" x14ac:dyDescent="0.45">
      <c r="B29" t="s">
        <v>1936</v>
      </c>
    </row>
    <row r="30" spans="2:11" x14ac:dyDescent="0.45">
      <c r="B30" t="s">
        <v>1937</v>
      </c>
      <c r="E30" t="s">
        <v>2364</v>
      </c>
      <c r="K30" t="s">
        <v>1986</v>
      </c>
    </row>
    <row r="31" spans="2:11" x14ac:dyDescent="0.45">
      <c r="B31" t="s">
        <v>1938</v>
      </c>
      <c r="E31" t="s">
        <v>2365</v>
      </c>
    </row>
    <row r="32" spans="2:11" x14ac:dyDescent="0.45">
      <c r="B32" t="s">
        <v>1939</v>
      </c>
    </row>
    <row r="33" spans="2:5" x14ac:dyDescent="0.45">
      <c r="B33" t="s">
        <v>1940</v>
      </c>
    </row>
    <row r="34" spans="2:5" x14ac:dyDescent="0.45">
      <c r="B34" t="s">
        <v>1941</v>
      </c>
    </row>
    <row r="36" spans="2:5" x14ac:dyDescent="0.45">
      <c r="B36" t="s">
        <v>1942</v>
      </c>
    </row>
    <row r="38" spans="2:5" x14ac:dyDescent="0.45">
      <c r="B38" t="s">
        <v>1943</v>
      </c>
    </row>
    <row r="39" spans="2:5" x14ac:dyDescent="0.45">
      <c r="B39" t="s">
        <v>1944</v>
      </c>
    </row>
    <row r="40" spans="2:5" x14ac:dyDescent="0.45">
      <c r="B40" t="s">
        <v>1945</v>
      </c>
    </row>
    <row r="41" spans="2:5" x14ac:dyDescent="0.45">
      <c r="B41" t="s">
        <v>1946</v>
      </c>
    </row>
    <row r="42" spans="2:5" x14ac:dyDescent="0.45">
      <c r="B42" t="s">
        <v>1947</v>
      </c>
      <c r="E42" t="s">
        <v>2363</v>
      </c>
    </row>
    <row r="44" spans="2:5" x14ac:dyDescent="0.45">
      <c r="B44" t="s">
        <v>1948</v>
      </c>
    </row>
    <row r="46" spans="2:5" x14ac:dyDescent="0.45">
      <c r="B46" t="s">
        <v>1949</v>
      </c>
    </row>
    <row r="47" spans="2:5" x14ac:dyDescent="0.45">
      <c r="B47" t="s">
        <v>1950</v>
      </c>
    </row>
    <row r="48" spans="2:5" x14ac:dyDescent="0.45">
      <c r="B48" t="s">
        <v>1951</v>
      </c>
    </row>
    <row r="50" spans="2:2" x14ac:dyDescent="0.45">
      <c r="B50" t="s">
        <v>1952</v>
      </c>
    </row>
    <row r="52" spans="2:2" x14ac:dyDescent="0.45">
      <c r="B52" t="s">
        <v>1953</v>
      </c>
    </row>
    <row r="54" spans="2:2" x14ac:dyDescent="0.45">
      <c r="B54" t="s">
        <v>1954</v>
      </c>
    </row>
    <row r="55" spans="2:2" x14ac:dyDescent="0.45">
      <c r="B55" t="s">
        <v>1955</v>
      </c>
    </row>
    <row r="56" spans="2:2" x14ac:dyDescent="0.45">
      <c r="B56" t="s">
        <v>1956</v>
      </c>
    </row>
    <row r="57" spans="2:2" x14ac:dyDescent="0.45">
      <c r="B57" t="s">
        <v>1957</v>
      </c>
    </row>
    <row r="58" spans="2:2" x14ac:dyDescent="0.45">
      <c r="B58" t="s">
        <v>1958</v>
      </c>
    </row>
    <row r="59" spans="2:2" x14ac:dyDescent="0.45">
      <c r="B59" t="s">
        <v>1959</v>
      </c>
    </row>
    <row r="60" spans="2:2" x14ac:dyDescent="0.45">
      <c r="B60" t="s">
        <v>1960</v>
      </c>
    </row>
    <row r="61" spans="2:2" x14ac:dyDescent="0.45">
      <c r="B61" t="s">
        <v>1961</v>
      </c>
    </row>
    <row r="62" spans="2:2" x14ac:dyDescent="0.45">
      <c r="B62" t="s">
        <v>1962</v>
      </c>
    </row>
    <row r="63" spans="2:2" x14ac:dyDescent="0.45">
      <c r="B63" t="s">
        <v>1963</v>
      </c>
    </row>
    <row r="64" spans="2:2" x14ac:dyDescent="0.45">
      <c r="B64" t="s">
        <v>1964</v>
      </c>
    </row>
    <row r="65" spans="2:2" x14ac:dyDescent="0.45">
      <c r="B65" t="s">
        <v>1965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345E-7F1F-476C-AA8C-DC580CD2794D}">
  <sheetPr>
    <tabColor rgb="FF00B050"/>
  </sheetPr>
  <dimension ref="B2:B30"/>
  <sheetViews>
    <sheetView workbookViewId="0">
      <selection activeCell="H31" sqref="H31"/>
    </sheetView>
  </sheetViews>
  <sheetFormatPr defaultRowHeight="17" x14ac:dyDescent="0.45"/>
  <sheetData>
    <row r="2" spans="2:2" x14ac:dyDescent="0.45">
      <c r="B2" t="s">
        <v>0</v>
      </c>
    </row>
    <row r="4" spans="2:2" x14ac:dyDescent="0.45">
      <c r="B4" t="s">
        <v>1</v>
      </c>
    </row>
    <row r="5" spans="2:2" x14ac:dyDescent="0.45">
      <c r="B5" t="s">
        <v>2</v>
      </c>
    </row>
    <row r="6" spans="2:2" x14ac:dyDescent="0.45">
      <c r="B6" t="s">
        <v>3</v>
      </c>
    </row>
    <row r="7" spans="2:2" x14ac:dyDescent="0.45">
      <c r="B7" t="s">
        <v>4</v>
      </c>
    </row>
    <row r="8" spans="2:2" x14ac:dyDescent="0.45">
      <c r="B8" t="s">
        <v>5</v>
      </c>
    </row>
    <row r="9" spans="2:2" x14ac:dyDescent="0.45">
      <c r="B9" t="s">
        <v>6</v>
      </c>
    </row>
    <row r="10" spans="2:2" x14ac:dyDescent="0.45">
      <c r="B10" t="s">
        <v>7</v>
      </c>
    </row>
    <row r="11" spans="2:2" x14ac:dyDescent="0.45">
      <c r="B11" t="s">
        <v>8</v>
      </c>
    </row>
    <row r="12" spans="2:2" x14ac:dyDescent="0.45">
      <c r="B12" t="s">
        <v>9</v>
      </c>
    </row>
    <row r="13" spans="2:2" x14ac:dyDescent="0.45">
      <c r="B13" t="s">
        <v>10</v>
      </c>
    </row>
    <row r="14" spans="2:2" x14ac:dyDescent="0.45">
      <c r="B14" t="s">
        <v>11</v>
      </c>
    </row>
    <row r="15" spans="2:2" x14ac:dyDescent="0.45">
      <c r="B15" t="s">
        <v>12</v>
      </c>
    </row>
    <row r="16" spans="2:2" x14ac:dyDescent="0.45">
      <c r="B16" t="s">
        <v>13</v>
      </c>
    </row>
    <row r="17" spans="2:2" x14ac:dyDescent="0.45">
      <c r="B17" t="s">
        <v>14</v>
      </c>
    </row>
    <row r="18" spans="2:2" x14ac:dyDescent="0.45">
      <c r="B18" t="s">
        <v>15</v>
      </c>
    </row>
    <row r="19" spans="2:2" x14ac:dyDescent="0.45">
      <c r="B19" t="s">
        <v>16</v>
      </c>
    </row>
    <row r="20" spans="2:2" x14ac:dyDescent="0.45">
      <c r="B20" t="s">
        <v>17</v>
      </c>
    </row>
    <row r="21" spans="2:2" x14ac:dyDescent="0.45">
      <c r="B21" t="s">
        <v>18</v>
      </c>
    </row>
    <row r="22" spans="2:2" x14ac:dyDescent="0.45">
      <c r="B22" t="s">
        <v>19</v>
      </c>
    </row>
    <row r="23" spans="2:2" x14ac:dyDescent="0.45">
      <c r="B23" t="s">
        <v>20</v>
      </c>
    </row>
    <row r="24" spans="2:2" x14ac:dyDescent="0.45">
      <c r="B24" t="s">
        <v>21</v>
      </c>
    </row>
    <row r="26" spans="2:2" x14ac:dyDescent="0.45">
      <c r="B26" t="s">
        <v>22</v>
      </c>
    </row>
    <row r="27" spans="2:2" x14ac:dyDescent="0.45">
      <c r="B27" t="s">
        <v>23</v>
      </c>
    </row>
    <row r="28" spans="2:2" x14ac:dyDescent="0.45">
      <c r="B28" t="s">
        <v>24</v>
      </c>
    </row>
    <row r="29" spans="2:2" x14ac:dyDescent="0.45">
      <c r="B29" t="s">
        <v>25</v>
      </c>
    </row>
    <row r="30" spans="2:2" x14ac:dyDescent="0.45">
      <c r="B30" t="s">
        <v>26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5BA6-8252-4BE5-8828-BC8BF3DC4FF3}">
  <dimension ref="B2:V55"/>
  <sheetViews>
    <sheetView topLeftCell="A10" workbookViewId="0">
      <selection activeCell="L40" sqref="L40"/>
    </sheetView>
  </sheetViews>
  <sheetFormatPr defaultRowHeight="17" x14ac:dyDescent="0.45"/>
  <sheetData>
    <row r="2" spans="2:8" x14ac:dyDescent="0.45">
      <c r="B2" t="s">
        <v>2167</v>
      </c>
    </row>
    <row r="3" spans="2:8" x14ac:dyDescent="0.45">
      <c r="B3" t="s">
        <v>2168</v>
      </c>
    </row>
    <row r="4" spans="2:8" x14ac:dyDescent="0.45">
      <c r="B4" t="s">
        <v>2169</v>
      </c>
    </row>
    <row r="5" spans="2:8" x14ac:dyDescent="0.45">
      <c r="B5" t="s">
        <v>2170</v>
      </c>
    </row>
    <row r="6" spans="2:8" x14ac:dyDescent="0.45">
      <c r="B6" t="s">
        <v>2171</v>
      </c>
    </row>
    <row r="7" spans="2:8" x14ac:dyDescent="0.45">
      <c r="B7" t="s">
        <v>2172</v>
      </c>
    </row>
    <row r="9" spans="2:8" x14ac:dyDescent="0.45">
      <c r="B9" t="s">
        <v>2173</v>
      </c>
    </row>
    <row r="10" spans="2:8" x14ac:dyDescent="0.45">
      <c r="B10" t="s">
        <v>2174</v>
      </c>
      <c r="H10" t="s">
        <v>2366</v>
      </c>
    </row>
    <row r="11" spans="2:8" x14ac:dyDescent="0.45">
      <c r="B11" t="s">
        <v>2175</v>
      </c>
      <c r="H11" t="s">
        <v>2367</v>
      </c>
    </row>
    <row r="12" spans="2:8" x14ac:dyDescent="0.45">
      <c r="B12" t="s">
        <v>2176</v>
      </c>
    </row>
    <row r="13" spans="2:8" x14ac:dyDescent="0.45">
      <c r="B13" t="s">
        <v>2177</v>
      </c>
    </row>
    <row r="14" spans="2:8" x14ac:dyDescent="0.45">
      <c r="B14" t="s">
        <v>2178</v>
      </c>
    </row>
    <row r="16" spans="2:8" x14ac:dyDescent="0.45">
      <c r="B16" t="s">
        <v>2179</v>
      </c>
    </row>
    <row r="17" spans="2:22" x14ac:dyDescent="0.45">
      <c r="B17" t="s">
        <v>2180</v>
      </c>
    </row>
    <row r="18" spans="2:22" x14ac:dyDescent="0.45">
      <c r="B18" t="s">
        <v>2181</v>
      </c>
    </row>
    <row r="19" spans="2:22" x14ac:dyDescent="0.45">
      <c r="B19" t="s">
        <v>2182</v>
      </c>
    </row>
    <row r="20" spans="2:22" x14ac:dyDescent="0.45">
      <c r="B20" t="s">
        <v>2183</v>
      </c>
    </row>
    <row r="21" spans="2:22" x14ac:dyDescent="0.45">
      <c r="B21" t="s">
        <v>2184</v>
      </c>
    </row>
    <row r="23" spans="2:22" x14ac:dyDescent="0.45">
      <c r="B23" t="s">
        <v>2185</v>
      </c>
    </row>
    <row r="24" spans="2:22" x14ac:dyDescent="0.45">
      <c r="B24" t="s">
        <v>2186</v>
      </c>
      <c r="M24" t="s">
        <v>2199</v>
      </c>
      <c r="V24" t="s">
        <v>2212</v>
      </c>
    </row>
    <row r="25" spans="2:22" x14ac:dyDescent="0.45">
      <c r="B25" t="s">
        <v>2187</v>
      </c>
      <c r="M25" t="s">
        <v>2200</v>
      </c>
      <c r="V25" t="s">
        <v>2213</v>
      </c>
    </row>
    <row r="26" spans="2:22" x14ac:dyDescent="0.45">
      <c r="B26" t="s">
        <v>2188</v>
      </c>
      <c r="M26" t="s">
        <v>2201</v>
      </c>
      <c r="V26" t="s">
        <v>2214</v>
      </c>
    </row>
    <row r="27" spans="2:22" x14ac:dyDescent="0.45">
      <c r="B27" t="s">
        <v>2189</v>
      </c>
      <c r="M27" t="s">
        <v>2202</v>
      </c>
      <c r="V27" t="s">
        <v>2215</v>
      </c>
    </row>
    <row r="28" spans="2:22" x14ac:dyDescent="0.45">
      <c r="B28" t="s">
        <v>2190</v>
      </c>
      <c r="M28" t="s">
        <v>2203</v>
      </c>
      <c r="V28" t="s">
        <v>2216</v>
      </c>
    </row>
    <row r="29" spans="2:22" x14ac:dyDescent="0.45">
      <c r="B29" t="s">
        <v>2191</v>
      </c>
      <c r="M29" t="s">
        <v>2204</v>
      </c>
      <c r="V29" t="s">
        <v>2217</v>
      </c>
    </row>
    <row r="30" spans="2:22" x14ac:dyDescent="0.45">
      <c r="B30" t="s">
        <v>2192</v>
      </c>
      <c r="M30" t="s">
        <v>2205</v>
      </c>
      <c r="V30" t="s">
        <v>2218</v>
      </c>
    </row>
    <row r="31" spans="2:22" x14ac:dyDescent="0.45">
      <c r="B31" t="s">
        <v>2193</v>
      </c>
      <c r="M31" t="s">
        <v>2206</v>
      </c>
      <c r="V31" t="s">
        <v>2219</v>
      </c>
    </row>
    <row r="32" spans="2:22" x14ac:dyDescent="0.45">
      <c r="B32" t="s">
        <v>2194</v>
      </c>
      <c r="M32" t="s">
        <v>2207</v>
      </c>
      <c r="V32" t="s">
        <v>2220</v>
      </c>
    </row>
    <row r="33" spans="2:22" x14ac:dyDescent="0.45">
      <c r="B33" t="s">
        <v>2195</v>
      </c>
      <c r="M33" t="s">
        <v>2208</v>
      </c>
      <c r="V33" t="s">
        <v>2221</v>
      </c>
    </row>
    <row r="34" spans="2:22" x14ac:dyDescent="0.45">
      <c r="B34" t="s">
        <v>2196</v>
      </c>
      <c r="M34" t="s">
        <v>2209</v>
      </c>
      <c r="V34" t="s">
        <v>2222</v>
      </c>
    </row>
    <row r="35" spans="2:22" x14ac:dyDescent="0.45">
      <c r="B35" t="s">
        <v>2197</v>
      </c>
      <c r="M35" t="s">
        <v>2210</v>
      </c>
      <c r="V35" t="s">
        <v>2223</v>
      </c>
    </row>
    <row r="36" spans="2:22" x14ac:dyDescent="0.45">
      <c r="B36" t="s">
        <v>2198</v>
      </c>
      <c r="M36" t="s">
        <v>2211</v>
      </c>
      <c r="V36" t="s">
        <v>2224</v>
      </c>
    </row>
    <row r="40" spans="2:22" x14ac:dyDescent="0.45">
      <c r="B40" t="s">
        <v>2225</v>
      </c>
      <c r="I40" t="s">
        <v>2238</v>
      </c>
    </row>
    <row r="41" spans="2:22" x14ac:dyDescent="0.45">
      <c r="B41" t="s">
        <v>2226</v>
      </c>
      <c r="I41" t="s">
        <v>2239</v>
      </c>
    </row>
    <row r="42" spans="2:22" x14ac:dyDescent="0.45">
      <c r="B42" t="s">
        <v>2227</v>
      </c>
      <c r="I42" t="s">
        <v>2240</v>
      </c>
    </row>
    <row r="43" spans="2:22" x14ac:dyDescent="0.45">
      <c r="B43" t="s">
        <v>2228</v>
      </c>
      <c r="I43" t="s">
        <v>2241</v>
      </c>
    </row>
    <row r="44" spans="2:22" x14ac:dyDescent="0.45">
      <c r="B44" t="s">
        <v>2229</v>
      </c>
      <c r="I44" t="s">
        <v>2242</v>
      </c>
    </row>
    <row r="45" spans="2:22" x14ac:dyDescent="0.45">
      <c r="B45" t="s">
        <v>2230</v>
      </c>
      <c r="I45" t="s">
        <v>2243</v>
      </c>
    </row>
    <row r="46" spans="2:22" x14ac:dyDescent="0.45">
      <c r="B46" t="s">
        <v>2231</v>
      </c>
      <c r="I46" t="s">
        <v>2244</v>
      </c>
    </row>
    <row r="47" spans="2:22" x14ac:dyDescent="0.45">
      <c r="B47" t="s">
        <v>2232</v>
      </c>
      <c r="I47" t="s">
        <v>2245</v>
      </c>
    </row>
    <row r="48" spans="2:22" x14ac:dyDescent="0.45">
      <c r="B48" t="s">
        <v>2233</v>
      </c>
      <c r="I48" t="s">
        <v>2246</v>
      </c>
    </row>
    <row r="49" spans="2:9" x14ac:dyDescent="0.45">
      <c r="B49" t="s">
        <v>2234</v>
      </c>
      <c r="I49" t="s">
        <v>2247</v>
      </c>
    </row>
    <row r="50" spans="2:9" x14ac:dyDescent="0.45">
      <c r="B50" t="s">
        <v>2235</v>
      </c>
      <c r="I50" t="s">
        <v>2248</v>
      </c>
    </row>
    <row r="51" spans="2:9" x14ac:dyDescent="0.45">
      <c r="B51" t="s">
        <v>2236</v>
      </c>
      <c r="I51" t="s">
        <v>2249</v>
      </c>
    </row>
    <row r="52" spans="2:9" x14ac:dyDescent="0.45">
      <c r="B52" t="s">
        <v>2237</v>
      </c>
      <c r="I52" t="s">
        <v>2250</v>
      </c>
    </row>
    <row r="55" spans="2:9" x14ac:dyDescent="0.45">
      <c r="I55" t="s">
        <v>1986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4835-5099-4C50-BCE6-EECD8AC20D27}">
  <dimension ref="B2:E55"/>
  <sheetViews>
    <sheetView topLeftCell="A10" workbookViewId="0">
      <selection activeCell="B55" sqref="B55"/>
    </sheetView>
  </sheetViews>
  <sheetFormatPr defaultColWidth="9" defaultRowHeight="17" x14ac:dyDescent="0.45"/>
  <cols>
    <col min="1" max="1" width="9" style="1"/>
    <col min="2" max="2" width="16.75" style="1" bestFit="1" customWidth="1"/>
    <col min="3" max="3" width="15.75" style="1" customWidth="1"/>
    <col min="4" max="4" width="15.33203125" style="1" customWidth="1"/>
    <col min="5" max="5" width="17.58203125" style="1" customWidth="1"/>
    <col min="6" max="16384" width="9" style="1"/>
  </cols>
  <sheetData>
    <row r="2" spans="2:5" x14ac:dyDescent="0.45">
      <c r="B2" s="17" t="s">
        <v>1809</v>
      </c>
      <c r="C2" s="17" t="s">
        <v>1810</v>
      </c>
      <c r="D2" s="17" t="s">
        <v>1811</v>
      </c>
      <c r="E2" s="18" t="s">
        <v>1812</v>
      </c>
    </row>
    <row r="3" spans="2:5" x14ac:dyDescent="0.45">
      <c r="B3" s="2" t="s">
        <v>1813</v>
      </c>
      <c r="C3" s="2">
        <v>30</v>
      </c>
      <c r="D3" s="2">
        <v>5</v>
      </c>
      <c r="E3" s="19">
        <v>3</v>
      </c>
    </row>
    <row r="4" spans="2:5" x14ac:dyDescent="0.45">
      <c r="B4" s="2" t="s">
        <v>1814</v>
      </c>
      <c r="C4" s="2">
        <v>165</v>
      </c>
      <c r="D4" s="2">
        <v>25</v>
      </c>
      <c r="E4" s="19">
        <v>19</v>
      </c>
    </row>
    <row r="5" spans="2:5" x14ac:dyDescent="0.45">
      <c r="B5" s="2" t="s">
        <v>1815</v>
      </c>
      <c r="C5" s="2">
        <v>300</v>
      </c>
      <c r="D5" s="2">
        <v>30</v>
      </c>
      <c r="E5" s="19">
        <v>30</v>
      </c>
    </row>
    <row r="6" spans="2:5" x14ac:dyDescent="0.45">
      <c r="B6" s="2" t="s">
        <v>1816</v>
      </c>
      <c r="C6" s="2">
        <v>300</v>
      </c>
      <c r="D6" s="2">
        <v>50</v>
      </c>
      <c r="E6" s="19">
        <v>36</v>
      </c>
    </row>
    <row r="7" spans="2:5" x14ac:dyDescent="0.45">
      <c r="B7" s="2" t="s">
        <v>1817</v>
      </c>
      <c r="C7" s="2">
        <v>750</v>
      </c>
      <c r="D7" s="2">
        <v>50</v>
      </c>
      <c r="E7" s="19">
        <v>66</v>
      </c>
    </row>
    <row r="8" spans="2:5" x14ac:dyDescent="0.45">
      <c r="B8" s="2" t="s">
        <v>1818</v>
      </c>
      <c r="C8" s="2">
        <v>900</v>
      </c>
      <c r="D8" s="2">
        <v>80</v>
      </c>
      <c r="E8" s="19">
        <v>86</v>
      </c>
    </row>
    <row r="9" spans="2:5" x14ac:dyDescent="0.45">
      <c r="B9" s="2" t="s">
        <v>1819</v>
      </c>
      <c r="C9" s="2">
        <v>960</v>
      </c>
      <c r="D9" s="2">
        <v>150</v>
      </c>
      <c r="E9" s="19">
        <v>114</v>
      </c>
    </row>
    <row r="10" spans="2:5" x14ac:dyDescent="0.45">
      <c r="B10" s="2" t="s">
        <v>1820</v>
      </c>
      <c r="C10" s="2">
        <v>1200</v>
      </c>
      <c r="D10" s="2">
        <v>300</v>
      </c>
      <c r="E10" s="19">
        <v>180</v>
      </c>
    </row>
    <row r="11" spans="2:5" x14ac:dyDescent="0.45">
      <c r="B11" s="2" t="s">
        <v>1821</v>
      </c>
      <c r="C11" s="2">
        <v>1200</v>
      </c>
      <c r="D11" s="2">
        <v>300</v>
      </c>
      <c r="E11" s="19">
        <v>180</v>
      </c>
    </row>
    <row r="12" spans="2:5" x14ac:dyDescent="0.45">
      <c r="B12" s="2" t="s">
        <v>1822</v>
      </c>
      <c r="C12" s="2">
        <v>3000</v>
      </c>
      <c r="D12" s="2">
        <v>850</v>
      </c>
      <c r="E12" s="19">
        <v>483</v>
      </c>
    </row>
    <row r="13" spans="2:5" x14ac:dyDescent="0.45">
      <c r="B13" s="2" t="s">
        <v>1823</v>
      </c>
      <c r="C13" s="2">
        <v>4500</v>
      </c>
      <c r="D13" s="2">
        <v>1000</v>
      </c>
      <c r="E13" s="19">
        <v>633</v>
      </c>
    </row>
    <row r="14" spans="2:5" x14ac:dyDescent="0.45">
      <c r="B14" s="2" t="s">
        <v>1824</v>
      </c>
      <c r="C14" s="2">
        <v>4800</v>
      </c>
      <c r="D14" s="2">
        <v>1200</v>
      </c>
      <c r="E14" s="19">
        <v>720</v>
      </c>
    </row>
    <row r="15" spans="2:5" x14ac:dyDescent="0.45">
      <c r="B15" s="2" t="s">
        <v>1825</v>
      </c>
      <c r="C15" s="2">
        <v>4900</v>
      </c>
      <c r="D15" s="2">
        <v>1300</v>
      </c>
      <c r="E15" s="19">
        <v>759</v>
      </c>
    </row>
    <row r="16" spans="2:5" x14ac:dyDescent="0.45">
      <c r="B16" s="2" t="s">
        <v>1826</v>
      </c>
      <c r="C16" s="2">
        <v>5500</v>
      </c>
      <c r="D16" s="2">
        <v>1350</v>
      </c>
      <c r="E16" s="19">
        <v>816</v>
      </c>
    </row>
    <row r="17" spans="2:5" x14ac:dyDescent="0.45">
      <c r="B17" s="2" t="s">
        <v>1827</v>
      </c>
      <c r="C17" s="2">
        <v>7500</v>
      </c>
      <c r="D17" s="2">
        <v>1000</v>
      </c>
      <c r="E17" s="19">
        <v>833</v>
      </c>
    </row>
    <row r="18" spans="2:5" x14ac:dyDescent="0.45">
      <c r="B18" s="2" t="s">
        <v>1828</v>
      </c>
      <c r="C18" s="2">
        <v>25000</v>
      </c>
      <c r="D18" s="2">
        <v>200</v>
      </c>
      <c r="E18" s="19">
        <v>850</v>
      </c>
    </row>
    <row r="19" spans="2:5" x14ac:dyDescent="0.45">
      <c r="B19" s="2" t="s">
        <v>1829</v>
      </c>
      <c r="C19" s="2">
        <v>25000</v>
      </c>
      <c r="D19" s="2">
        <v>200</v>
      </c>
      <c r="E19" s="19">
        <v>900</v>
      </c>
    </row>
    <row r="20" spans="2:5" x14ac:dyDescent="0.45">
      <c r="B20" s="2" t="s">
        <v>1830</v>
      </c>
      <c r="C20" s="2">
        <v>25000</v>
      </c>
      <c r="D20" s="2">
        <v>200</v>
      </c>
      <c r="E20" s="19">
        <v>900</v>
      </c>
    </row>
    <row r="21" spans="2:5" x14ac:dyDescent="0.45">
      <c r="B21" s="2" t="s">
        <v>1831</v>
      </c>
      <c r="C21" s="2">
        <v>7500</v>
      </c>
      <c r="D21" s="2">
        <v>1500</v>
      </c>
      <c r="E21" s="19">
        <v>1000</v>
      </c>
    </row>
    <row r="22" spans="2:5" x14ac:dyDescent="0.45">
      <c r="B22" s="2" t="s">
        <v>1832</v>
      </c>
      <c r="C22" s="2">
        <v>8000</v>
      </c>
      <c r="D22" s="2">
        <v>1700</v>
      </c>
      <c r="E22" s="19">
        <v>1099</v>
      </c>
    </row>
    <row r="23" spans="2:5" x14ac:dyDescent="0.45">
      <c r="B23" s="2" t="s">
        <v>1833</v>
      </c>
      <c r="C23" s="2">
        <v>8500</v>
      </c>
      <c r="D23" s="2">
        <v>1900</v>
      </c>
      <c r="E23" s="19">
        <v>1199</v>
      </c>
    </row>
    <row r="24" spans="2:5" x14ac:dyDescent="0.45">
      <c r="B24" s="2" t="s">
        <v>1834</v>
      </c>
      <c r="C24" s="2">
        <v>9500</v>
      </c>
      <c r="D24" s="2">
        <v>2100</v>
      </c>
      <c r="E24" s="19">
        <v>1333</v>
      </c>
    </row>
    <row r="25" spans="2:5" x14ac:dyDescent="0.45">
      <c r="B25" s="2" t="s">
        <v>1835</v>
      </c>
      <c r="C25" s="2">
        <v>20000</v>
      </c>
      <c r="D25" s="2">
        <v>100</v>
      </c>
      <c r="E25" s="19">
        <v>1366</v>
      </c>
    </row>
    <row r="26" spans="2:5" x14ac:dyDescent="0.45">
      <c r="B26" s="2" t="s">
        <v>1836</v>
      </c>
      <c r="C26" s="2">
        <v>12500</v>
      </c>
      <c r="D26" s="2">
        <v>2300</v>
      </c>
      <c r="E26" s="19">
        <v>1599</v>
      </c>
    </row>
    <row r="27" spans="2:5" x14ac:dyDescent="0.45">
      <c r="B27" s="2" t="s">
        <v>1837</v>
      </c>
      <c r="C27" s="2">
        <v>12000</v>
      </c>
      <c r="D27" s="2">
        <v>3000</v>
      </c>
      <c r="E27" s="19">
        <v>1800</v>
      </c>
    </row>
    <row r="28" spans="2:5" x14ac:dyDescent="0.45">
      <c r="B28" s="2" t="s">
        <v>1838</v>
      </c>
      <c r="C28" s="2">
        <v>19500</v>
      </c>
      <c r="D28" s="2">
        <v>3500</v>
      </c>
      <c r="E28" s="19">
        <v>2466</v>
      </c>
    </row>
    <row r="29" spans="2:5" x14ac:dyDescent="0.45">
      <c r="B29" s="2" t="s">
        <v>1839</v>
      </c>
      <c r="C29" s="2">
        <v>10500</v>
      </c>
      <c r="D29" s="2">
        <v>5500</v>
      </c>
      <c r="E29" s="19">
        <v>2533</v>
      </c>
    </row>
    <row r="30" spans="2:5" x14ac:dyDescent="0.45">
      <c r="B30" s="2" t="s">
        <v>1840</v>
      </c>
      <c r="C30" s="2">
        <v>10500</v>
      </c>
      <c r="D30" s="2">
        <v>5500</v>
      </c>
      <c r="E30" s="19">
        <v>2533</v>
      </c>
    </row>
    <row r="31" spans="2:5" x14ac:dyDescent="0.45">
      <c r="B31" s="2" t="s">
        <v>1841</v>
      </c>
      <c r="C31" s="2">
        <v>18000</v>
      </c>
      <c r="D31" s="2">
        <v>4000</v>
      </c>
      <c r="E31" s="19">
        <v>2533</v>
      </c>
    </row>
    <row r="32" spans="2:5" x14ac:dyDescent="0.45">
      <c r="B32" s="2" t="s">
        <v>1842</v>
      </c>
      <c r="C32" s="2">
        <v>60000</v>
      </c>
      <c r="D32" s="2">
        <v>3200</v>
      </c>
      <c r="E32" s="19">
        <v>5066</v>
      </c>
    </row>
    <row r="33" spans="2:5" x14ac:dyDescent="0.45">
      <c r="B33" s="2" t="s">
        <v>1843</v>
      </c>
      <c r="C33" s="2">
        <v>60000</v>
      </c>
      <c r="D33" s="2">
        <v>3500</v>
      </c>
      <c r="E33" s="19">
        <v>5166</v>
      </c>
    </row>
    <row r="34" spans="2:5" x14ac:dyDescent="0.45">
      <c r="B34" s="2" t="s">
        <v>1844</v>
      </c>
      <c r="C34" s="2">
        <v>60000</v>
      </c>
      <c r="D34" s="2">
        <v>3500</v>
      </c>
      <c r="E34" s="19">
        <v>5166</v>
      </c>
    </row>
    <row r="35" spans="2:5" x14ac:dyDescent="0.45">
      <c r="B35" s="2" t="s">
        <v>1845</v>
      </c>
      <c r="C35" s="2">
        <v>75000</v>
      </c>
      <c r="D35" s="2">
        <v>3500</v>
      </c>
      <c r="E35" s="19">
        <v>6166</v>
      </c>
    </row>
    <row r="36" spans="2:5" x14ac:dyDescent="0.45">
      <c r="B36" s="2" t="s">
        <v>1846</v>
      </c>
      <c r="C36" s="2">
        <v>50000</v>
      </c>
      <c r="D36" s="2">
        <v>10000</v>
      </c>
      <c r="E36" s="19">
        <v>6666</v>
      </c>
    </row>
    <row r="37" spans="2:5" x14ac:dyDescent="0.45">
      <c r="B37" s="2" t="s">
        <v>1847</v>
      </c>
      <c r="C37" s="2">
        <v>90000</v>
      </c>
      <c r="D37" s="2">
        <v>5000</v>
      </c>
      <c r="E37" s="19">
        <v>7666</v>
      </c>
    </row>
    <row r="38" spans="2:5" x14ac:dyDescent="0.45">
      <c r="B38" s="2" t="s">
        <v>1848</v>
      </c>
      <c r="C38" s="2">
        <v>12500</v>
      </c>
      <c r="D38" s="2">
        <v>6000</v>
      </c>
      <c r="E38" s="19">
        <v>9066</v>
      </c>
    </row>
    <row r="39" spans="2:5" x14ac:dyDescent="0.45">
      <c r="B39" s="2" t="s">
        <v>1849</v>
      </c>
      <c r="C39" s="2">
        <v>120000</v>
      </c>
      <c r="D39" s="2">
        <v>8000</v>
      </c>
      <c r="E39" s="19">
        <v>10666</v>
      </c>
    </row>
    <row r="40" spans="2:5" x14ac:dyDescent="0.45">
      <c r="B40" s="2" t="s">
        <v>1850</v>
      </c>
      <c r="C40" s="2">
        <v>140000</v>
      </c>
      <c r="D40" s="2">
        <v>9000</v>
      </c>
      <c r="E40" s="19">
        <v>12333</v>
      </c>
    </row>
    <row r="41" spans="2:5" x14ac:dyDescent="0.45">
      <c r="B41" s="2" t="s">
        <v>1851</v>
      </c>
      <c r="C41" s="2">
        <v>150000</v>
      </c>
      <c r="D41" s="2">
        <v>10000</v>
      </c>
      <c r="E41" s="19">
        <v>13333</v>
      </c>
    </row>
    <row r="42" spans="2:5" x14ac:dyDescent="0.45">
      <c r="B42" s="2" t="s">
        <v>1852</v>
      </c>
      <c r="C42" s="2">
        <v>180000</v>
      </c>
      <c r="D42" s="2">
        <v>13000</v>
      </c>
      <c r="E42" s="19">
        <v>16333</v>
      </c>
    </row>
    <row r="43" spans="2:5" x14ac:dyDescent="0.45">
      <c r="B43" s="2" t="s">
        <v>1853</v>
      </c>
      <c r="C43" s="2">
        <v>180000</v>
      </c>
      <c r="D43" s="2">
        <v>13000</v>
      </c>
      <c r="E43" s="19">
        <v>16333</v>
      </c>
    </row>
    <row r="44" spans="2:5" x14ac:dyDescent="0.45">
      <c r="B44" s="2" t="s">
        <v>1854</v>
      </c>
      <c r="C44" s="2">
        <v>300000</v>
      </c>
      <c r="D44" s="2">
        <v>15000</v>
      </c>
      <c r="E44" s="19">
        <v>25000</v>
      </c>
    </row>
    <row r="45" spans="2:5" x14ac:dyDescent="0.45">
      <c r="B45" s="2" t="s">
        <v>1855</v>
      </c>
      <c r="C45" s="2">
        <v>500000</v>
      </c>
      <c r="D45" s="2">
        <v>6700</v>
      </c>
      <c r="E45" s="19">
        <v>35566</v>
      </c>
    </row>
    <row r="46" spans="2:5" x14ac:dyDescent="0.45">
      <c r="B46" s="2" t="s">
        <v>1856</v>
      </c>
      <c r="C46" s="2">
        <v>800000</v>
      </c>
      <c r="D46" s="2">
        <v>10000</v>
      </c>
      <c r="E46" s="19">
        <v>56666</v>
      </c>
    </row>
    <row r="47" spans="2:5" x14ac:dyDescent="0.45">
      <c r="B47" s="2" t="s">
        <v>1857</v>
      </c>
      <c r="C47" s="2">
        <v>1500000</v>
      </c>
      <c r="D47" s="2">
        <v>9000</v>
      </c>
      <c r="E47" s="19">
        <v>100000</v>
      </c>
    </row>
    <row r="48" spans="2:5" x14ac:dyDescent="0.45">
      <c r="B48" s="2" t="s">
        <v>1858</v>
      </c>
      <c r="C48" s="2">
        <v>3000000</v>
      </c>
      <c r="D48" s="2">
        <v>10000</v>
      </c>
      <c r="E48" s="19">
        <v>203333</v>
      </c>
    </row>
    <row r="49" spans="2:5" x14ac:dyDescent="0.45">
      <c r="B49" s="2" t="s">
        <v>1859</v>
      </c>
      <c r="C49" s="2">
        <v>3000000</v>
      </c>
      <c r="D49" s="2">
        <v>10000</v>
      </c>
      <c r="E49" s="19">
        <v>203333</v>
      </c>
    </row>
    <row r="50" spans="2:5" x14ac:dyDescent="0.45">
      <c r="B50" s="2" t="s">
        <v>1860</v>
      </c>
      <c r="C50" s="2">
        <v>3000000</v>
      </c>
      <c r="D50" s="2">
        <v>10000</v>
      </c>
      <c r="E50" s="19">
        <v>203333</v>
      </c>
    </row>
    <row r="51" spans="2:5" x14ac:dyDescent="0.45">
      <c r="B51" s="2" t="s">
        <v>1861</v>
      </c>
      <c r="C51" s="2">
        <v>10000000</v>
      </c>
      <c r="D51" s="2">
        <v>12000</v>
      </c>
      <c r="E51" s="19">
        <v>670666</v>
      </c>
    </row>
    <row r="52" spans="2:5" x14ac:dyDescent="0.45">
      <c r="B52" s="2" t="s">
        <v>1862</v>
      </c>
      <c r="C52" s="2">
        <v>15000000</v>
      </c>
      <c r="D52" s="2">
        <v>18000</v>
      </c>
      <c r="E52" s="19">
        <v>1000000</v>
      </c>
    </row>
    <row r="53" spans="2:5" x14ac:dyDescent="0.45">
      <c r="B53" s="2" t="s">
        <v>1863</v>
      </c>
      <c r="C53" s="2">
        <v>20000000</v>
      </c>
      <c r="D53" s="2">
        <v>20000</v>
      </c>
      <c r="E53" s="19">
        <v>1500000</v>
      </c>
    </row>
    <row r="54" spans="2:5" x14ac:dyDescent="0.45">
      <c r="B54" s="2" t="s">
        <v>1864</v>
      </c>
      <c r="C54" s="2">
        <v>35000000</v>
      </c>
      <c r="D54" s="2">
        <v>40000</v>
      </c>
      <c r="E54" s="19">
        <v>3000000</v>
      </c>
    </row>
    <row r="55" spans="2:5" x14ac:dyDescent="0.45">
      <c r="B55" s="20" t="s">
        <v>1865</v>
      </c>
      <c r="C55" s="19">
        <v>300000000</v>
      </c>
      <c r="D55" s="19">
        <v>100000</v>
      </c>
      <c r="E55" s="19">
        <v>20033333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87BB-59C3-4033-B921-415D27CFEA70}">
  <sheetPr>
    <tabColor rgb="FF00B0F0"/>
  </sheetPr>
  <dimension ref="B2:L243"/>
  <sheetViews>
    <sheetView topLeftCell="A224" workbookViewId="0">
      <selection activeCell="C163" sqref="C163:F163"/>
    </sheetView>
  </sheetViews>
  <sheetFormatPr defaultRowHeight="17" x14ac:dyDescent="0.45"/>
  <sheetData>
    <row r="2" spans="2:12" x14ac:dyDescent="0.45">
      <c r="B2" t="s">
        <v>39</v>
      </c>
      <c r="L2" t="s">
        <v>249</v>
      </c>
    </row>
    <row r="4" spans="2:12" x14ac:dyDescent="0.45">
      <c r="B4" t="s">
        <v>40</v>
      </c>
      <c r="L4" t="s">
        <v>39</v>
      </c>
    </row>
    <row r="6" spans="2:12" x14ac:dyDescent="0.45">
      <c r="B6" t="s">
        <v>41</v>
      </c>
      <c r="L6" t="s">
        <v>40</v>
      </c>
    </row>
    <row r="7" spans="2:12" x14ac:dyDescent="0.45">
      <c r="B7" t="s">
        <v>42</v>
      </c>
    </row>
    <row r="8" spans="2:12" x14ac:dyDescent="0.45">
      <c r="B8" t="s">
        <v>43</v>
      </c>
      <c r="L8" t="s">
        <v>250</v>
      </c>
    </row>
    <row r="9" spans="2:12" x14ac:dyDescent="0.45">
      <c r="B9" t="s">
        <v>44</v>
      </c>
      <c r="L9" t="s">
        <v>251</v>
      </c>
    </row>
    <row r="10" spans="2:12" x14ac:dyDescent="0.45">
      <c r="B10" t="s">
        <v>45</v>
      </c>
      <c r="L10" t="s">
        <v>252</v>
      </c>
    </row>
    <row r="11" spans="2:12" x14ac:dyDescent="0.45">
      <c r="B11" t="s">
        <v>46</v>
      </c>
      <c r="L11" t="s">
        <v>253</v>
      </c>
    </row>
    <row r="12" spans="2:12" x14ac:dyDescent="0.45">
      <c r="B12" t="s">
        <v>47</v>
      </c>
      <c r="L12" t="s">
        <v>254</v>
      </c>
    </row>
    <row r="13" spans="2:12" x14ac:dyDescent="0.45">
      <c r="B13" t="s">
        <v>48</v>
      </c>
      <c r="L13" t="s">
        <v>255</v>
      </c>
    </row>
    <row r="14" spans="2:12" x14ac:dyDescent="0.45">
      <c r="B14" t="s">
        <v>49</v>
      </c>
      <c r="L14" t="s">
        <v>256</v>
      </c>
    </row>
    <row r="15" spans="2:12" x14ac:dyDescent="0.45">
      <c r="B15" t="s">
        <v>50</v>
      </c>
      <c r="L15" t="s">
        <v>257</v>
      </c>
    </row>
    <row r="16" spans="2:12" x14ac:dyDescent="0.45">
      <c r="B16" t="s">
        <v>51</v>
      </c>
      <c r="L16" t="s">
        <v>258</v>
      </c>
    </row>
    <row r="17" spans="2:12" x14ac:dyDescent="0.45">
      <c r="B17" t="s">
        <v>52</v>
      </c>
      <c r="L17" t="s">
        <v>259</v>
      </c>
    </row>
    <row r="18" spans="2:12" x14ac:dyDescent="0.45">
      <c r="B18" t="s">
        <v>53</v>
      </c>
      <c r="L18" t="s">
        <v>260</v>
      </c>
    </row>
    <row r="19" spans="2:12" x14ac:dyDescent="0.45">
      <c r="B19" t="s">
        <v>54</v>
      </c>
      <c r="L19" t="s">
        <v>261</v>
      </c>
    </row>
    <row r="21" spans="2:12" x14ac:dyDescent="0.45">
      <c r="B21" t="s">
        <v>55</v>
      </c>
      <c r="L21" t="s">
        <v>262</v>
      </c>
    </row>
    <row r="22" spans="2:12" x14ac:dyDescent="0.45">
      <c r="B22" t="s">
        <v>56</v>
      </c>
      <c r="L22" t="s">
        <v>263</v>
      </c>
    </row>
    <row r="23" spans="2:12" x14ac:dyDescent="0.45">
      <c r="B23" t="s">
        <v>57</v>
      </c>
      <c r="L23" t="s">
        <v>264</v>
      </c>
    </row>
    <row r="24" spans="2:12" x14ac:dyDescent="0.45">
      <c r="B24" t="s">
        <v>58</v>
      </c>
      <c r="L24" t="s">
        <v>265</v>
      </c>
    </row>
    <row r="25" spans="2:12" x14ac:dyDescent="0.45">
      <c r="B25" t="s">
        <v>59</v>
      </c>
      <c r="L25" t="s">
        <v>266</v>
      </c>
    </row>
    <row r="26" spans="2:12" x14ac:dyDescent="0.45">
      <c r="B26" t="s">
        <v>60</v>
      </c>
      <c r="L26" t="s">
        <v>267</v>
      </c>
    </row>
    <row r="27" spans="2:12" x14ac:dyDescent="0.45">
      <c r="B27" t="s">
        <v>61</v>
      </c>
      <c r="L27" t="s">
        <v>268</v>
      </c>
    </row>
    <row r="28" spans="2:12" x14ac:dyDescent="0.45">
      <c r="B28" t="s">
        <v>62</v>
      </c>
      <c r="L28" t="s">
        <v>269</v>
      </c>
    </row>
    <row r="29" spans="2:12" x14ac:dyDescent="0.45">
      <c r="B29" t="s">
        <v>63</v>
      </c>
      <c r="L29" t="s">
        <v>270</v>
      </c>
    </row>
    <row r="30" spans="2:12" x14ac:dyDescent="0.45">
      <c r="B30" t="s">
        <v>64</v>
      </c>
    </row>
    <row r="31" spans="2:12" x14ac:dyDescent="0.45">
      <c r="B31" t="s">
        <v>65</v>
      </c>
      <c r="L31" t="s">
        <v>271</v>
      </c>
    </row>
    <row r="32" spans="2:12" x14ac:dyDescent="0.45">
      <c r="B32" t="s">
        <v>66</v>
      </c>
      <c r="L32" t="s">
        <v>272</v>
      </c>
    </row>
    <row r="33" spans="2:12" x14ac:dyDescent="0.45">
      <c r="L33" t="s">
        <v>273</v>
      </c>
    </row>
    <row r="34" spans="2:12" x14ac:dyDescent="0.45">
      <c r="B34" t="s">
        <v>67</v>
      </c>
      <c r="L34" t="s">
        <v>274</v>
      </c>
    </row>
    <row r="35" spans="2:12" x14ac:dyDescent="0.45">
      <c r="B35" t="s">
        <v>68</v>
      </c>
      <c r="L35" t="s">
        <v>275</v>
      </c>
    </row>
    <row r="36" spans="2:12" x14ac:dyDescent="0.45">
      <c r="B36" t="s">
        <v>69</v>
      </c>
      <c r="L36" t="s">
        <v>276</v>
      </c>
    </row>
    <row r="37" spans="2:12" x14ac:dyDescent="0.45">
      <c r="B37" t="s">
        <v>70</v>
      </c>
      <c r="L37" t="s">
        <v>277</v>
      </c>
    </row>
    <row r="38" spans="2:12" x14ac:dyDescent="0.45">
      <c r="B38" t="s">
        <v>71</v>
      </c>
      <c r="L38" t="s">
        <v>278</v>
      </c>
    </row>
    <row r="39" spans="2:12" x14ac:dyDescent="0.45">
      <c r="B39" t="s">
        <v>72</v>
      </c>
      <c r="L39" t="s">
        <v>279</v>
      </c>
    </row>
    <row r="40" spans="2:12" x14ac:dyDescent="0.45">
      <c r="B40" t="s">
        <v>73</v>
      </c>
      <c r="L40" t="s">
        <v>280</v>
      </c>
    </row>
    <row r="41" spans="2:12" x14ac:dyDescent="0.45">
      <c r="B41" t="s">
        <v>74</v>
      </c>
      <c r="L41" t="s">
        <v>281</v>
      </c>
    </row>
    <row r="42" spans="2:12" x14ac:dyDescent="0.45">
      <c r="B42" t="s">
        <v>75</v>
      </c>
    </row>
    <row r="43" spans="2:12" x14ac:dyDescent="0.45">
      <c r="B43" t="s">
        <v>76</v>
      </c>
      <c r="L43" t="s">
        <v>282</v>
      </c>
    </row>
    <row r="44" spans="2:12" x14ac:dyDescent="0.45">
      <c r="B44" t="s">
        <v>77</v>
      </c>
      <c r="L44" t="s">
        <v>283</v>
      </c>
    </row>
    <row r="45" spans="2:12" x14ac:dyDescent="0.45">
      <c r="B45" t="s">
        <v>78</v>
      </c>
      <c r="L45" t="s">
        <v>284</v>
      </c>
    </row>
    <row r="46" spans="2:12" x14ac:dyDescent="0.45">
      <c r="B46" t="s">
        <v>79</v>
      </c>
      <c r="L46" t="s">
        <v>285</v>
      </c>
    </row>
    <row r="47" spans="2:12" x14ac:dyDescent="0.45">
      <c r="B47" t="s">
        <v>80</v>
      </c>
      <c r="L47" t="s">
        <v>286</v>
      </c>
    </row>
    <row r="48" spans="2:12" x14ac:dyDescent="0.45">
      <c r="B48" t="s">
        <v>81</v>
      </c>
      <c r="L48" t="s">
        <v>287</v>
      </c>
    </row>
    <row r="49" spans="2:12" x14ac:dyDescent="0.45">
      <c r="B49" t="s">
        <v>82</v>
      </c>
      <c r="L49" t="s">
        <v>288</v>
      </c>
    </row>
    <row r="50" spans="2:12" x14ac:dyDescent="0.45">
      <c r="B50" t="s">
        <v>83</v>
      </c>
      <c r="L50" t="s">
        <v>289</v>
      </c>
    </row>
    <row r="51" spans="2:12" x14ac:dyDescent="0.45">
      <c r="L51" t="s">
        <v>290</v>
      </c>
    </row>
    <row r="52" spans="2:12" x14ac:dyDescent="0.45">
      <c r="B52" t="s">
        <v>84</v>
      </c>
      <c r="L52" t="s">
        <v>291</v>
      </c>
    </row>
    <row r="53" spans="2:12" x14ac:dyDescent="0.45">
      <c r="B53" t="s">
        <v>85</v>
      </c>
    </row>
    <row r="54" spans="2:12" x14ac:dyDescent="0.45">
      <c r="B54" t="s">
        <v>86</v>
      </c>
    </row>
    <row r="55" spans="2:12" x14ac:dyDescent="0.45">
      <c r="B55" t="s">
        <v>87</v>
      </c>
      <c r="L55" t="s">
        <v>97</v>
      </c>
    </row>
    <row r="56" spans="2:12" x14ac:dyDescent="0.45">
      <c r="B56" t="s">
        <v>88</v>
      </c>
    </row>
    <row r="57" spans="2:12" x14ac:dyDescent="0.45">
      <c r="B57" t="s">
        <v>89</v>
      </c>
      <c r="L57" t="s">
        <v>98</v>
      </c>
    </row>
    <row r="58" spans="2:12" x14ac:dyDescent="0.45">
      <c r="B58" t="s">
        <v>90</v>
      </c>
    </row>
    <row r="59" spans="2:12" x14ac:dyDescent="0.45">
      <c r="B59" t="s">
        <v>91</v>
      </c>
      <c r="L59" t="s">
        <v>292</v>
      </c>
    </row>
    <row r="60" spans="2:12" x14ac:dyDescent="0.45">
      <c r="B60" t="s">
        <v>92</v>
      </c>
      <c r="L60" t="s">
        <v>293</v>
      </c>
    </row>
    <row r="61" spans="2:12" x14ac:dyDescent="0.45">
      <c r="B61" t="s">
        <v>93</v>
      </c>
      <c r="L61" t="s">
        <v>294</v>
      </c>
    </row>
    <row r="62" spans="2:12" x14ac:dyDescent="0.45">
      <c r="B62" t="s">
        <v>94</v>
      </c>
      <c r="L62" t="s">
        <v>295</v>
      </c>
    </row>
    <row r="63" spans="2:12" x14ac:dyDescent="0.45">
      <c r="B63" t="s">
        <v>95</v>
      </c>
      <c r="L63" t="s">
        <v>296</v>
      </c>
    </row>
    <row r="64" spans="2:12" x14ac:dyDescent="0.45">
      <c r="B64" t="s">
        <v>96</v>
      </c>
      <c r="L64" t="s">
        <v>297</v>
      </c>
    </row>
    <row r="65" spans="2:12" x14ac:dyDescent="0.45">
      <c r="L65" t="s">
        <v>298</v>
      </c>
    </row>
    <row r="66" spans="2:12" x14ac:dyDescent="0.45">
      <c r="L66" t="s">
        <v>299</v>
      </c>
    </row>
    <row r="67" spans="2:12" x14ac:dyDescent="0.45">
      <c r="B67" t="s">
        <v>97</v>
      </c>
      <c r="L67" t="s">
        <v>300</v>
      </c>
    </row>
    <row r="68" spans="2:12" x14ac:dyDescent="0.45">
      <c r="L68" t="s">
        <v>301</v>
      </c>
    </row>
    <row r="69" spans="2:12" x14ac:dyDescent="0.45">
      <c r="B69" t="s">
        <v>98</v>
      </c>
      <c r="L69" t="s">
        <v>302</v>
      </c>
    </row>
    <row r="70" spans="2:12" x14ac:dyDescent="0.45">
      <c r="L70" t="s">
        <v>303</v>
      </c>
    </row>
    <row r="71" spans="2:12" x14ac:dyDescent="0.45">
      <c r="B71" t="s">
        <v>99</v>
      </c>
    </row>
    <row r="72" spans="2:12" x14ac:dyDescent="0.45">
      <c r="B72" t="s">
        <v>100</v>
      </c>
      <c r="L72" t="s">
        <v>304</v>
      </c>
    </row>
    <row r="73" spans="2:12" x14ac:dyDescent="0.45">
      <c r="B73" t="s">
        <v>101</v>
      </c>
      <c r="L73" t="s">
        <v>305</v>
      </c>
    </row>
    <row r="74" spans="2:12" x14ac:dyDescent="0.45">
      <c r="B74" t="s">
        <v>102</v>
      </c>
      <c r="L74" t="s">
        <v>306</v>
      </c>
    </row>
    <row r="75" spans="2:12" x14ac:dyDescent="0.45">
      <c r="B75" t="s">
        <v>103</v>
      </c>
      <c r="L75" t="s">
        <v>307</v>
      </c>
    </row>
    <row r="76" spans="2:12" x14ac:dyDescent="0.45">
      <c r="B76" t="s">
        <v>104</v>
      </c>
      <c r="L76" t="s">
        <v>308</v>
      </c>
    </row>
    <row r="77" spans="2:12" x14ac:dyDescent="0.45">
      <c r="B77" t="s">
        <v>105</v>
      </c>
      <c r="L77" t="s">
        <v>309</v>
      </c>
    </row>
    <row r="78" spans="2:12" x14ac:dyDescent="0.45">
      <c r="B78" t="s">
        <v>106</v>
      </c>
      <c r="L78" t="s">
        <v>310</v>
      </c>
    </row>
    <row r="79" spans="2:12" x14ac:dyDescent="0.45">
      <c r="B79" t="s">
        <v>107</v>
      </c>
      <c r="L79" t="s">
        <v>311</v>
      </c>
    </row>
    <row r="80" spans="2:12" x14ac:dyDescent="0.45">
      <c r="L80" t="s">
        <v>312</v>
      </c>
    </row>
    <row r="81" spans="2:12" x14ac:dyDescent="0.45">
      <c r="B81" t="s">
        <v>108</v>
      </c>
    </row>
    <row r="82" spans="2:12" x14ac:dyDescent="0.45">
      <c r="B82" t="s">
        <v>109</v>
      </c>
      <c r="L82" t="s">
        <v>313</v>
      </c>
    </row>
    <row r="83" spans="2:12" x14ac:dyDescent="0.45">
      <c r="B83" t="s">
        <v>110</v>
      </c>
      <c r="L83" t="s">
        <v>314</v>
      </c>
    </row>
    <row r="84" spans="2:12" x14ac:dyDescent="0.45">
      <c r="B84" t="s">
        <v>111</v>
      </c>
      <c r="L84" t="s">
        <v>315</v>
      </c>
    </row>
    <row r="85" spans="2:12" x14ac:dyDescent="0.45">
      <c r="B85" t="s">
        <v>112</v>
      </c>
      <c r="L85" t="s">
        <v>316</v>
      </c>
    </row>
    <row r="86" spans="2:12" x14ac:dyDescent="0.45">
      <c r="B86" t="s">
        <v>113</v>
      </c>
      <c r="L86" t="s">
        <v>317</v>
      </c>
    </row>
    <row r="87" spans="2:12" x14ac:dyDescent="0.45">
      <c r="B87" t="s">
        <v>114</v>
      </c>
      <c r="L87" t="s">
        <v>318</v>
      </c>
    </row>
    <row r="88" spans="2:12" x14ac:dyDescent="0.45">
      <c r="B88" t="s">
        <v>115</v>
      </c>
      <c r="L88" t="s">
        <v>319</v>
      </c>
    </row>
    <row r="89" spans="2:12" x14ac:dyDescent="0.45">
      <c r="B89" t="s">
        <v>116</v>
      </c>
      <c r="L89" t="s">
        <v>320</v>
      </c>
    </row>
    <row r="90" spans="2:12" x14ac:dyDescent="0.45">
      <c r="B90" t="s">
        <v>117</v>
      </c>
    </row>
    <row r="92" spans="2:12" x14ac:dyDescent="0.45">
      <c r="B92" t="s">
        <v>118</v>
      </c>
      <c r="L92" t="s">
        <v>130</v>
      </c>
    </row>
    <row r="93" spans="2:12" x14ac:dyDescent="0.45">
      <c r="B93" t="s">
        <v>119</v>
      </c>
    </row>
    <row r="94" spans="2:12" x14ac:dyDescent="0.45">
      <c r="B94" t="s">
        <v>120</v>
      </c>
      <c r="L94" t="s">
        <v>131</v>
      </c>
    </row>
    <row r="95" spans="2:12" x14ac:dyDescent="0.45">
      <c r="B95" t="s">
        <v>121</v>
      </c>
    </row>
    <row r="96" spans="2:12" x14ac:dyDescent="0.45">
      <c r="B96" t="s">
        <v>122</v>
      </c>
      <c r="L96" t="s">
        <v>321</v>
      </c>
    </row>
    <row r="97" spans="2:12" x14ac:dyDescent="0.45">
      <c r="B97" t="s">
        <v>123</v>
      </c>
      <c r="L97" t="s">
        <v>322</v>
      </c>
    </row>
    <row r="98" spans="2:12" x14ac:dyDescent="0.45">
      <c r="B98" t="s">
        <v>124</v>
      </c>
      <c r="L98" t="s">
        <v>323</v>
      </c>
    </row>
    <row r="99" spans="2:12" x14ac:dyDescent="0.45">
      <c r="B99" t="s">
        <v>125</v>
      </c>
      <c r="L99" t="s">
        <v>324</v>
      </c>
    </row>
    <row r="100" spans="2:12" x14ac:dyDescent="0.45">
      <c r="B100" t="s">
        <v>126</v>
      </c>
      <c r="L100" t="s">
        <v>325</v>
      </c>
    </row>
    <row r="101" spans="2:12" x14ac:dyDescent="0.45">
      <c r="B101" t="s">
        <v>127</v>
      </c>
      <c r="L101" t="s">
        <v>326</v>
      </c>
    </row>
    <row r="102" spans="2:12" x14ac:dyDescent="0.45">
      <c r="B102" t="s">
        <v>128</v>
      </c>
      <c r="L102" t="s">
        <v>327</v>
      </c>
    </row>
    <row r="103" spans="2:12" x14ac:dyDescent="0.45">
      <c r="B103" t="s">
        <v>129</v>
      </c>
      <c r="L103" t="s">
        <v>328</v>
      </c>
    </row>
    <row r="105" spans="2:12" x14ac:dyDescent="0.45">
      <c r="L105" t="s">
        <v>329</v>
      </c>
    </row>
    <row r="106" spans="2:12" x14ac:dyDescent="0.45">
      <c r="B106" t="s">
        <v>130</v>
      </c>
      <c r="L106" t="s">
        <v>330</v>
      </c>
    </row>
    <row r="107" spans="2:12" x14ac:dyDescent="0.45">
      <c r="L107" t="s">
        <v>331</v>
      </c>
    </row>
    <row r="108" spans="2:12" x14ac:dyDescent="0.45">
      <c r="B108" t="s">
        <v>131</v>
      </c>
      <c r="L108" t="s">
        <v>332</v>
      </c>
    </row>
    <row r="109" spans="2:12" x14ac:dyDescent="0.45">
      <c r="L109" t="s">
        <v>333</v>
      </c>
    </row>
    <row r="110" spans="2:12" x14ac:dyDescent="0.45">
      <c r="B110" t="s">
        <v>132</v>
      </c>
      <c r="L110" t="s">
        <v>334</v>
      </c>
    </row>
    <row r="111" spans="2:12" x14ac:dyDescent="0.45">
      <c r="B111" t="s">
        <v>133</v>
      </c>
    </row>
    <row r="112" spans="2:12" x14ac:dyDescent="0.45">
      <c r="B112" t="s">
        <v>134</v>
      </c>
      <c r="L112" t="s">
        <v>335</v>
      </c>
    </row>
    <row r="113" spans="2:12" x14ac:dyDescent="0.45">
      <c r="B113" t="s">
        <v>127</v>
      </c>
      <c r="L113" t="s">
        <v>336</v>
      </c>
    </row>
    <row r="114" spans="2:12" x14ac:dyDescent="0.45">
      <c r="B114" t="s">
        <v>135</v>
      </c>
      <c r="L114" t="s">
        <v>337</v>
      </c>
    </row>
    <row r="115" spans="2:12" x14ac:dyDescent="0.45">
      <c r="B115" t="s">
        <v>136</v>
      </c>
      <c r="L115" t="s">
        <v>338</v>
      </c>
    </row>
    <row r="116" spans="2:12" x14ac:dyDescent="0.45">
      <c r="B116" t="s">
        <v>137</v>
      </c>
    </row>
    <row r="117" spans="2:12" x14ac:dyDescent="0.45">
      <c r="B117" t="s">
        <v>138</v>
      </c>
    </row>
    <row r="118" spans="2:12" x14ac:dyDescent="0.45">
      <c r="B118" t="s">
        <v>139</v>
      </c>
      <c r="L118" t="s">
        <v>339</v>
      </c>
    </row>
    <row r="120" spans="2:12" x14ac:dyDescent="0.45">
      <c r="B120" t="s">
        <v>140</v>
      </c>
      <c r="L120" t="s">
        <v>160</v>
      </c>
    </row>
    <row r="121" spans="2:12" x14ac:dyDescent="0.45">
      <c r="B121" t="s">
        <v>141</v>
      </c>
    </row>
    <row r="122" spans="2:12" x14ac:dyDescent="0.45">
      <c r="B122" t="s">
        <v>142</v>
      </c>
      <c r="L122" t="s">
        <v>340</v>
      </c>
    </row>
    <row r="123" spans="2:12" x14ac:dyDescent="0.45">
      <c r="B123" t="s">
        <v>143</v>
      </c>
      <c r="L123" t="s">
        <v>341</v>
      </c>
    </row>
    <row r="124" spans="2:12" x14ac:dyDescent="0.45">
      <c r="B124" t="s">
        <v>144</v>
      </c>
      <c r="L124" t="s">
        <v>342</v>
      </c>
    </row>
    <row r="125" spans="2:12" x14ac:dyDescent="0.45">
      <c r="B125" t="s">
        <v>145</v>
      </c>
      <c r="L125" t="s">
        <v>343</v>
      </c>
    </row>
    <row r="126" spans="2:12" x14ac:dyDescent="0.45">
      <c r="B126" t="s">
        <v>146</v>
      </c>
      <c r="L126" t="s">
        <v>344</v>
      </c>
    </row>
    <row r="127" spans="2:12" x14ac:dyDescent="0.45">
      <c r="B127" t="s">
        <v>147</v>
      </c>
      <c r="L127" t="s">
        <v>345</v>
      </c>
    </row>
    <row r="128" spans="2:12" x14ac:dyDescent="0.45">
      <c r="B128" t="s">
        <v>148</v>
      </c>
      <c r="L128" t="s">
        <v>346</v>
      </c>
    </row>
    <row r="129" spans="2:12" x14ac:dyDescent="0.45">
      <c r="B129" t="s">
        <v>149</v>
      </c>
      <c r="L129" t="s">
        <v>347</v>
      </c>
    </row>
    <row r="130" spans="2:12" x14ac:dyDescent="0.45">
      <c r="B130" t="s">
        <v>150</v>
      </c>
      <c r="L130" t="s">
        <v>348</v>
      </c>
    </row>
    <row r="131" spans="2:12" x14ac:dyDescent="0.45">
      <c r="B131" t="s">
        <v>151</v>
      </c>
      <c r="L131" t="s">
        <v>349</v>
      </c>
    </row>
    <row r="132" spans="2:12" x14ac:dyDescent="0.45">
      <c r="B132" t="s">
        <v>152</v>
      </c>
      <c r="L132" t="s">
        <v>350</v>
      </c>
    </row>
    <row r="133" spans="2:12" x14ac:dyDescent="0.45">
      <c r="B133" t="s">
        <v>153</v>
      </c>
      <c r="L133" t="s">
        <v>351</v>
      </c>
    </row>
    <row r="134" spans="2:12" x14ac:dyDescent="0.45">
      <c r="B134" t="s">
        <v>154</v>
      </c>
      <c r="L134" t="s">
        <v>352</v>
      </c>
    </row>
    <row r="135" spans="2:12" x14ac:dyDescent="0.45">
      <c r="B135" t="s">
        <v>155</v>
      </c>
    </row>
    <row r="136" spans="2:12" x14ac:dyDescent="0.45">
      <c r="B136" t="s">
        <v>156</v>
      </c>
      <c r="L136" t="s">
        <v>353</v>
      </c>
    </row>
    <row r="137" spans="2:12" x14ac:dyDescent="0.45">
      <c r="B137" t="s">
        <v>157</v>
      </c>
    </row>
    <row r="138" spans="2:12" x14ac:dyDescent="0.45">
      <c r="B138" t="s">
        <v>158</v>
      </c>
      <c r="L138" t="s">
        <v>354</v>
      </c>
    </row>
    <row r="139" spans="2:12" x14ac:dyDescent="0.45">
      <c r="L139" t="s">
        <v>355</v>
      </c>
    </row>
    <row r="140" spans="2:12" x14ac:dyDescent="0.45">
      <c r="L140" t="s">
        <v>356</v>
      </c>
    </row>
    <row r="141" spans="2:12" x14ac:dyDescent="0.45">
      <c r="B141" t="s">
        <v>159</v>
      </c>
      <c r="L141" t="s">
        <v>357</v>
      </c>
    </row>
    <row r="142" spans="2:12" x14ac:dyDescent="0.45">
      <c r="L142" t="s">
        <v>358</v>
      </c>
    </row>
    <row r="143" spans="2:12" x14ac:dyDescent="0.45">
      <c r="B143" t="s">
        <v>160</v>
      </c>
      <c r="L143" t="s">
        <v>359</v>
      </c>
    </row>
    <row r="144" spans="2:12" x14ac:dyDescent="0.45">
      <c r="L144" t="s">
        <v>360</v>
      </c>
    </row>
    <row r="145" spans="2:12" x14ac:dyDescent="0.45">
      <c r="B145" t="s">
        <v>161</v>
      </c>
      <c r="L145" t="s">
        <v>361</v>
      </c>
    </row>
    <row r="146" spans="2:12" x14ac:dyDescent="0.45">
      <c r="B146" t="s">
        <v>162</v>
      </c>
      <c r="L146" t="s">
        <v>362</v>
      </c>
    </row>
    <row r="147" spans="2:12" x14ac:dyDescent="0.45">
      <c r="B147" t="s">
        <v>163</v>
      </c>
      <c r="L147" t="s">
        <v>363</v>
      </c>
    </row>
    <row r="148" spans="2:12" x14ac:dyDescent="0.45">
      <c r="B148" t="s">
        <v>164</v>
      </c>
      <c r="L148" t="s">
        <v>364</v>
      </c>
    </row>
    <row r="149" spans="2:12" x14ac:dyDescent="0.45">
      <c r="B149" t="s">
        <v>165</v>
      </c>
      <c r="L149" t="s">
        <v>365</v>
      </c>
    </row>
    <row r="150" spans="2:12" x14ac:dyDescent="0.45">
      <c r="B150" t="s">
        <v>166</v>
      </c>
      <c r="L150" t="s">
        <v>366</v>
      </c>
    </row>
    <row r="151" spans="2:12" x14ac:dyDescent="0.45">
      <c r="B151" t="s">
        <v>167</v>
      </c>
    </row>
    <row r="152" spans="2:12" x14ac:dyDescent="0.45">
      <c r="B152" t="s">
        <v>168</v>
      </c>
      <c r="L152" t="s">
        <v>367</v>
      </c>
    </row>
    <row r="153" spans="2:12" x14ac:dyDescent="0.45">
      <c r="B153" t="s">
        <v>169</v>
      </c>
      <c r="L153" t="s">
        <v>368</v>
      </c>
    </row>
    <row r="154" spans="2:12" x14ac:dyDescent="0.45">
      <c r="B154" t="s">
        <v>170</v>
      </c>
      <c r="L154" t="s">
        <v>369</v>
      </c>
    </row>
    <row r="155" spans="2:12" x14ac:dyDescent="0.45">
      <c r="B155" t="s">
        <v>171</v>
      </c>
      <c r="L155" t="s">
        <v>370</v>
      </c>
    </row>
    <row r="156" spans="2:12" x14ac:dyDescent="0.45">
      <c r="B156" t="s">
        <v>172</v>
      </c>
      <c r="L156" t="s">
        <v>371</v>
      </c>
    </row>
    <row r="157" spans="2:12" x14ac:dyDescent="0.45">
      <c r="B157" t="s">
        <v>173</v>
      </c>
      <c r="L157" t="s">
        <v>372</v>
      </c>
    </row>
    <row r="158" spans="2:12" x14ac:dyDescent="0.45">
      <c r="B158" t="s">
        <v>174</v>
      </c>
      <c r="L158" t="s">
        <v>373</v>
      </c>
    </row>
    <row r="159" spans="2:12" x14ac:dyDescent="0.45">
      <c r="B159" t="s">
        <v>175</v>
      </c>
      <c r="L159" t="s">
        <v>374</v>
      </c>
    </row>
    <row r="160" spans="2:12" x14ac:dyDescent="0.45">
      <c r="B160" t="s">
        <v>176</v>
      </c>
      <c r="L160" t="s">
        <v>375</v>
      </c>
    </row>
    <row r="161" spans="2:12" x14ac:dyDescent="0.45">
      <c r="B161" t="s">
        <v>177</v>
      </c>
      <c r="L161" t="s">
        <v>376</v>
      </c>
    </row>
    <row r="162" spans="2:12" x14ac:dyDescent="0.45">
      <c r="B162" t="s">
        <v>178</v>
      </c>
      <c r="L162" t="s">
        <v>377</v>
      </c>
    </row>
    <row r="163" spans="2:12" x14ac:dyDescent="0.45">
      <c r="B163" t="s">
        <v>179</v>
      </c>
      <c r="L163" t="s">
        <v>378</v>
      </c>
    </row>
    <row r="164" spans="2:12" x14ac:dyDescent="0.45">
      <c r="L164" t="s">
        <v>379</v>
      </c>
    </row>
    <row r="165" spans="2:12" x14ac:dyDescent="0.45">
      <c r="L165" t="s">
        <v>380</v>
      </c>
    </row>
    <row r="166" spans="2:12" x14ac:dyDescent="0.45">
      <c r="B166" t="s">
        <v>180</v>
      </c>
      <c r="L166" t="s">
        <v>381</v>
      </c>
    </row>
    <row r="167" spans="2:12" x14ac:dyDescent="0.45">
      <c r="B167" t="s">
        <v>181</v>
      </c>
      <c r="L167" t="s">
        <v>382</v>
      </c>
    </row>
    <row r="169" spans="2:12" x14ac:dyDescent="0.45">
      <c r="B169" t="s">
        <v>182</v>
      </c>
      <c r="L169" t="s">
        <v>383</v>
      </c>
    </row>
    <row r="170" spans="2:12" x14ac:dyDescent="0.45">
      <c r="B170" t="s">
        <v>183</v>
      </c>
    </row>
    <row r="171" spans="2:12" x14ac:dyDescent="0.45">
      <c r="B171" t="s">
        <v>184</v>
      </c>
    </row>
    <row r="172" spans="2:12" x14ac:dyDescent="0.45">
      <c r="B172" t="s">
        <v>185</v>
      </c>
    </row>
    <row r="173" spans="2:12" x14ac:dyDescent="0.45">
      <c r="B173" t="s">
        <v>186</v>
      </c>
    </row>
    <row r="174" spans="2:12" x14ac:dyDescent="0.45">
      <c r="B174" t="s">
        <v>187</v>
      </c>
    </row>
    <row r="175" spans="2:12" x14ac:dyDescent="0.45">
      <c r="B175" t="s">
        <v>188</v>
      </c>
    </row>
    <row r="176" spans="2:12" x14ac:dyDescent="0.45">
      <c r="B176" t="s">
        <v>189</v>
      </c>
    </row>
    <row r="177" spans="2:2" x14ac:dyDescent="0.45">
      <c r="B177" t="s">
        <v>190</v>
      </c>
    </row>
    <row r="178" spans="2:2" x14ac:dyDescent="0.45">
      <c r="B178" t="s">
        <v>191</v>
      </c>
    </row>
    <row r="179" spans="2:2" x14ac:dyDescent="0.45">
      <c r="B179" t="s">
        <v>192</v>
      </c>
    </row>
    <row r="180" spans="2:2" x14ac:dyDescent="0.45">
      <c r="B180" t="s">
        <v>193</v>
      </c>
    </row>
    <row r="181" spans="2:2" x14ac:dyDescent="0.45">
      <c r="B181" t="s">
        <v>194</v>
      </c>
    </row>
    <row r="182" spans="2:2" x14ac:dyDescent="0.45">
      <c r="B182" t="s">
        <v>195</v>
      </c>
    </row>
    <row r="183" spans="2:2" x14ac:dyDescent="0.45">
      <c r="B183" t="s">
        <v>196</v>
      </c>
    </row>
    <row r="184" spans="2:2" x14ac:dyDescent="0.45">
      <c r="B184" t="s">
        <v>197</v>
      </c>
    </row>
    <row r="185" spans="2:2" x14ac:dyDescent="0.45">
      <c r="B185" t="s">
        <v>198</v>
      </c>
    </row>
    <row r="186" spans="2:2" x14ac:dyDescent="0.45">
      <c r="B186" t="s">
        <v>199</v>
      </c>
    </row>
    <row r="187" spans="2:2" x14ac:dyDescent="0.45">
      <c r="B187" t="s">
        <v>200</v>
      </c>
    </row>
    <row r="188" spans="2:2" x14ac:dyDescent="0.45">
      <c r="B188" t="s">
        <v>201</v>
      </c>
    </row>
    <row r="189" spans="2:2" x14ac:dyDescent="0.45">
      <c r="B189" t="s">
        <v>202</v>
      </c>
    </row>
    <row r="190" spans="2:2" x14ac:dyDescent="0.45">
      <c r="B190" t="s">
        <v>203</v>
      </c>
    </row>
    <row r="191" spans="2:2" x14ac:dyDescent="0.45">
      <c r="B191" t="s">
        <v>204</v>
      </c>
    </row>
    <row r="192" spans="2:2" x14ac:dyDescent="0.45">
      <c r="B192" t="s">
        <v>205</v>
      </c>
    </row>
    <row r="197" spans="2:2" x14ac:dyDescent="0.45">
      <c r="B197" t="s">
        <v>206</v>
      </c>
    </row>
    <row r="199" spans="2:2" x14ac:dyDescent="0.45">
      <c r="B199" t="s">
        <v>40</v>
      </c>
    </row>
    <row r="201" spans="2:2" x14ac:dyDescent="0.45">
      <c r="B201" t="s">
        <v>207</v>
      </c>
    </row>
    <row r="202" spans="2:2" x14ac:dyDescent="0.45">
      <c r="B202" t="s">
        <v>208</v>
      </c>
    </row>
    <row r="203" spans="2:2" x14ac:dyDescent="0.45">
      <c r="B203" t="s">
        <v>209</v>
      </c>
    </row>
    <row r="204" spans="2:2" x14ac:dyDescent="0.45">
      <c r="B204" t="s">
        <v>210</v>
      </c>
    </row>
    <row r="205" spans="2:2" x14ac:dyDescent="0.45">
      <c r="B205" t="s">
        <v>211</v>
      </c>
    </row>
    <row r="206" spans="2:2" x14ac:dyDescent="0.45">
      <c r="B206" t="s">
        <v>212</v>
      </c>
    </row>
    <row r="207" spans="2:2" x14ac:dyDescent="0.45">
      <c r="B207" t="s">
        <v>213</v>
      </c>
    </row>
    <row r="208" spans="2:2" x14ac:dyDescent="0.45">
      <c r="B208" t="s">
        <v>214</v>
      </c>
    </row>
    <row r="209" spans="2:2" x14ac:dyDescent="0.45">
      <c r="B209" t="s">
        <v>215</v>
      </c>
    </row>
    <row r="210" spans="2:2" x14ac:dyDescent="0.45">
      <c r="B210" t="s">
        <v>216</v>
      </c>
    </row>
    <row r="211" spans="2:2" x14ac:dyDescent="0.45">
      <c r="B211" t="s">
        <v>217</v>
      </c>
    </row>
    <row r="212" spans="2:2" x14ac:dyDescent="0.45">
      <c r="B212" t="s">
        <v>218</v>
      </c>
    </row>
    <row r="213" spans="2:2" x14ac:dyDescent="0.45">
      <c r="B213" t="s">
        <v>219</v>
      </c>
    </row>
    <row r="214" spans="2:2" x14ac:dyDescent="0.45">
      <c r="B214" t="s">
        <v>220</v>
      </c>
    </row>
    <row r="215" spans="2:2" x14ac:dyDescent="0.45">
      <c r="B215" t="s">
        <v>221</v>
      </c>
    </row>
    <row r="216" spans="2:2" x14ac:dyDescent="0.45">
      <c r="B216" t="s">
        <v>222</v>
      </c>
    </row>
    <row r="217" spans="2:2" x14ac:dyDescent="0.45">
      <c r="B217" t="s">
        <v>223</v>
      </c>
    </row>
    <row r="218" spans="2:2" x14ac:dyDescent="0.45">
      <c r="B218" t="s">
        <v>224</v>
      </c>
    </row>
    <row r="220" spans="2:2" x14ac:dyDescent="0.45">
      <c r="B220" t="s">
        <v>225</v>
      </c>
    </row>
    <row r="221" spans="2:2" x14ac:dyDescent="0.45">
      <c r="B221" t="s">
        <v>226</v>
      </c>
    </row>
    <row r="222" spans="2:2" x14ac:dyDescent="0.45">
      <c r="B222" t="s">
        <v>227</v>
      </c>
    </row>
    <row r="223" spans="2:2" x14ac:dyDescent="0.45">
      <c r="B223" t="s">
        <v>228</v>
      </c>
    </row>
    <row r="224" spans="2:2" x14ac:dyDescent="0.45">
      <c r="B224" t="s">
        <v>229</v>
      </c>
    </row>
    <row r="225" spans="2:2" x14ac:dyDescent="0.45">
      <c r="B225" t="s">
        <v>230</v>
      </c>
    </row>
    <row r="226" spans="2:2" x14ac:dyDescent="0.45">
      <c r="B226" t="s">
        <v>231</v>
      </c>
    </row>
    <row r="227" spans="2:2" x14ac:dyDescent="0.45">
      <c r="B227" t="s">
        <v>232</v>
      </c>
    </row>
    <row r="228" spans="2:2" x14ac:dyDescent="0.45">
      <c r="B228" t="s">
        <v>233</v>
      </c>
    </row>
    <row r="229" spans="2:2" x14ac:dyDescent="0.45">
      <c r="B229" t="s">
        <v>234</v>
      </c>
    </row>
    <row r="230" spans="2:2" x14ac:dyDescent="0.45">
      <c r="B230" t="s">
        <v>235</v>
      </c>
    </row>
    <row r="231" spans="2:2" x14ac:dyDescent="0.45">
      <c r="B231" t="s">
        <v>236</v>
      </c>
    </row>
    <row r="232" spans="2:2" x14ac:dyDescent="0.45">
      <c r="B232" t="s">
        <v>237</v>
      </c>
    </row>
    <row r="233" spans="2:2" x14ac:dyDescent="0.45">
      <c r="B233" t="s">
        <v>238</v>
      </c>
    </row>
    <row r="234" spans="2:2" x14ac:dyDescent="0.45">
      <c r="B234" t="s">
        <v>239</v>
      </c>
    </row>
    <row r="235" spans="2:2" x14ac:dyDescent="0.45">
      <c r="B235" t="s">
        <v>240</v>
      </c>
    </row>
    <row r="236" spans="2:2" x14ac:dyDescent="0.45">
      <c r="B236" t="s">
        <v>241</v>
      </c>
    </row>
    <row r="237" spans="2:2" x14ac:dyDescent="0.45">
      <c r="B237" t="s">
        <v>242</v>
      </c>
    </row>
    <row r="238" spans="2:2" x14ac:dyDescent="0.45">
      <c r="B238" t="s">
        <v>243</v>
      </c>
    </row>
    <row r="239" spans="2:2" x14ac:dyDescent="0.45">
      <c r="B239" t="s">
        <v>244</v>
      </c>
    </row>
    <row r="240" spans="2:2" x14ac:dyDescent="0.45">
      <c r="B240" t="s">
        <v>245</v>
      </c>
    </row>
    <row r="241" spans="2:2" x14ac:dyDescent="0.45">
      <c r="B241" t="s">
        <v>246</v>
      </c>
    </row>
    <row r="242" spans="2:2" x14ac:dyDescent="0.45">
      <c r="B242" t="s">
        <v>247</v>
      </c>
    </row>
    <row r="243" spans="2:2" x14ac:dyDescent="0.45">
      <c r="B243" t="s">
        <v>248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AE7B-697E-455A-B4CD-96E55DADEF5A}">
  <sheetPr>
    <tabColor theme="4" tint="0.39997558519241921"/>
  </sheetPr>
  <dimension ref="A1:AA89"/>
  <sheetViews>
    <sheetView workbookViewId="0">
      <selection activeCell="N56" sqref="N56"/>
    </sheetView>
  </sheetViews>
  <sheetFormatPr defaultRowHeight="17" x14ac:dyDescent="0.45"/>
  <sheetData>
    <row r="1" spans="1:27" x14ac:dyDescent="0.45">
      <c r="A1" t="s">
        <v>384</v>
      </c>
      <c r="Y1" t="s">
        <v>421</v>
      </c>
    </row>
    <row r="2" spans="1:27" x14ac:dyDescent="0.45">
      <c r="A2" t="s">
        <v>385</v>
      </c>
      <c r="I2" t="s">
        <v>421</v>
      </c>
      <c r="P2" t="s">
        <v>249</v>
      </c>
    </row>
    <row r="3" spans="1:27" x14ac:dyDescent="0.45">
      <c r="Y3" t="s">
        <v>2036</v>
      </c>
    </row>
    <row r="4" spans="1:27" x14ac:dyDescent="0.45">
      <c r="A4" t="s">
        <v>40</v>
      </c>
      <c r="I4" t="s">
        <v>422</v>
      </c>
      <c r="P4" t="s">
        <v>1990</v>
      </c>
      <c r="Y4" t="s">
        <v>2037</v>
      </c>
    </row>
    <row r="5" spans="1:27" x14ac:dyDescent="0.45">
      <c r="I5" t="s">
        <v>423</v>
      </c>
      <c r="P5" t="s">
        <v>1991</v>
      </c>
      <c r="Y5" t="s">
        <v>2038</v>
      </c>
    </row>
    <row r="6" spans="1:27" x14ac:dyDescent="0.45">
      <c r="I6" t="s">
        <v>424</v>
      </c>
      <c r="P6" t="s">
        <v>1992</v>
      </c>
      <c r="Y6" t="s">
        <v>2039</v>
      </c>
      <c r="AA6" t="s">
        <v>2040</v>
      </c>
    </row>
    <row r="7" spans="1:27" x14ac:dyDescent="0.45">
      <c r="A7" t="s">
        <v>386</v>
      </c>
      <c r="I7" t="s">
        <v>425</v>
      </c>
      <c r="P7" t="s">
        <v>1993</v>
      </c>
      <c r="Y7" t="s">
        <v>2041</v>
      </c>
    </row>
    <row r="8" spans="1:27" x14ac:dyDescent="0.45">
      <c r="A8" t="s">
        <v>1989</v>
      </c>
      <c r="I8" t="s">
        <v>426</v>
      </c>
      <c r="P8" t="s">
        <v>1994</v>
      </c>
      <c r="Y8" t="s">
        <v>2042</v>
      </c>
    </row>
    <row r="9" spans="1:27" x14ac:dyDescent="0.45">
      <c r="A9" t="s">
        <v>387</v>
      </c>
      <c r="I9" t="s">
        <v>427</v>
      </c>
      <c r="P9" t="s">
        <v>1995</v>
      </c>
      <c r="Y9" t="s">
        <v>2043</v>
      </c>
    </row>
    <row r="10" spans="1:27" x14ac:dyDescent="0.45">
      <c r="A10" t="s">
        <v>388</v>
      </c>
      <c r="I10" t="s">
        <v>428</v>
      </c>
      <c r="P10" t="s">
        <v>1996</v>
      </c>
      <c r="Y10" t="s">
        <v>2044</v>
      </c>
    </row>
    <row r="11" spans="1:27" x14ac:dyDescent="0.45">
      <c r="A11" t="s">
        <v>389</v>
      </c>
      <c r="I11" t="s">
        <v>429</v>
      </c>
      <c r="P11" t="s">
        <v>1997</v>
      </c>
      <c r="Y11" t="s">
        <v>2045</v>
      </c>
    </row>
    <row r="12" spans="1:27" x14ac:dyDescent="0.45">
      <c r="A12" t="s">
        <v>390</v>
      </c>
      <c r="I12" t="s">
        <v>430</v>
      </c>
      <c r="Y12" t="s">
        <v>2046</v>
      </c>
    </row>
    <row r="13" spans="1:27" x14ac:dyDescent="0.45">
      <c r="A13" t="s">
        <v>391</v>
      </c>
      <c r="I13" t="s">
        <v>431</v>
      </c>
      <c r="P13" t="s">
        <v>1998</v>
      </c>
      <c r="Q13" t="s">
        <v>1999</v>
      </c>
      <c r="Y13" t="s">
        <v>2047</v>
      </c>
    </row>
    <row r="14" spans="1:27" x14ac:dyDescent="0.45">
      <c r="A14" t="s">
        <v>392</v>
      </c>
      <c r="I14" t="s">
        <v>432</v>
      </c>
      <c r="P14" t="s">
        <v>2000</v>
      </c>
      <c r="Y14" t="s">
        <v>2048</v>
      </c>
    </row>
    <row r="15" spans="1:27" x14ac:dyDescent="0.45">
      <c r="A15" t="s">
        <v>393</v>
      </c>
      <c r="I15" t="s">
        <v>433</v>
      </c>
      <c r="P15" t="s">
        <v>2001</v>
      </c>
      <c r="Y15" t="s">
        <v>2049</v>
      </c>
    </row>
    <row r="16" spans="1:27" x14ac:dyDescent="0.45">
      <c r="A16" t="s">
        <v>394</v>
      </c>
      <c r="I16" t="s">
        <v>434</v>
      </c>
      <c r="P16" t="s">
        <v>2002</v>
      </c>
      <c r="Y16" t="s">
        <v>2050</v>
      </c>
    </row>
    <row r="17" spans="1:25" x14ac:dyDescent="0.45">
      <c r="A17" t="s">
        <v>395</v>
      </c>
      <c r="I17" t="s">
        <v>435</v>
      </c>
      <c r="P17" t="s">
        <v>2003</v>
      </c>
      <c r="Y17" t="s">
        <v>2051</v>
      </c>
    </row>
    <row r="18" spans="1:25" x14ac:dyDescent="0.45">
      <c r="A18" t="s">
        <v>396</v>
      </c>
      <c r="I18" t="s">
        <v>436</v>
      </c>
      <c r="P18" t="s">
        <v>2004</v>
      </c>
      <c r="Y18" t="s">
        <v>2052</v>
      </c>
    </row>
    <row r="19" spans="1:25" x14ac:dyDescent="0.45">
      <c r="A19" t="s">
        <v>397</v>
      </c>
      <c r="I19" t="s">
        <v>437</v>
      </c>
      <c r="P19" t="s">
        <v>2005</v>
      </c>
      <c r="Y19" t="s">
        <v>2053</v>
      </c>
    </row>
    <row r="20" spans="1:25" x14ac:dyDescent="0.45">
      <c r="A20" t="s">
        <v>398</v>
      </c>
      <c r="I20" t="s">
        <v>438</v>
      </c>
      <c r="P20" t="s">
        <v>2006</v>
      </c>
    </row>
    <row r="21" spans="1:25" x14ac:dyDescent="0.45">
      <c r="A21" t="s">
        <v>399</v>
      </c>
      <c r="I21" t="s">
        <v>439</v>
      </c>
      <c r="P21" t="s">
        <v>2007</v>
      </c>
      <c r="Y21" t="s">
        <v>40</v>
      </c>
    </row>
    <row r="22" spans="1:25" x14ac:dyDescent="0.45">
      <c r="A22" t="s">
        <v>400</v>
      </c>
      <c r="I22" t="s">
        <v>440</v>
      </c>
      <c r="P22" t="s">
        <v>2008</v>
      </c>
    </row>
    <row r="23" spans="1:25" x14ac:dyDescent="0.45">
      <c r="A23" t="s">
        <v>401</v>
      </c>
      <c r="I23" t="s">
        <v>441</v>
      </c>
      <c r="P23" t="s">
        <v>2009</v>
      </c>
      <c r="Y23" t="s">
        <v>442</v>
      </c>
    </row>
    <row r="24" spans="1:25" x14ac:dyDescent="0.45">
      <c r="A24" t="s">
        <v>402</v>
      </c>
      <c r="P24" t="s">
        <v>2010</v>
      </c>
    </row>
    <row r="25" spans="1:25" x14ac:dyDescent="0.45">
      <c r="A25" t="s">
        <v>403</v>
      </c>
      <c r="I25" t="s">
        <v>40</v>
      </c>
      <c r="P25" t="s">
        <v>2011</v>
      </c>
      <c r="Y25" t="s">
        <v>2166</v>
      </c>
    </row>
    <row r="26" spans="1:25" x14ac:dyDescent="0.45">
      <c r="A26" t="s">
        <v>404</v>
      </c>
      <c r="P26" t="s">
        <v>2012</v>
      </c>
      <c r="Y26" t="s">
        <v>2054</v>
      </c>
    </row>
    <row r="27" spans="1:25" x14ac:dyDescent="0.45">
      <c r="A27" t="s">
        <v>405</v>
      </c>
      <c r="I27" t="s">
        <v>442</v>
      </c>
      <c r="P27" t="s">
        <v>2013</v>
      </c>
      <c r="Y27" t="s">
        <v>2055</v>
      </c>
    </row>
    <row r="28" spans="1:25" x14ac:dyDescent="0.45">
      <c r="A28" t="s">
        <v>406</v>
      </c>
      <c r="P28" t="s">
        <v>2014</v>
      </c>
      <c r="Y28" t="s">
        <v>2056</v>
      </c>
    </row>
    <row r="29" spans="1:25" x14ac:dyDescent="0.45">
      <c r="I29" t="s">
        <v>443</v>
      </c>
      <c r="P29" t="s">
        <v>2015</v>
      </c>
      <c r="Y29" t="s">
        <v>2057</v>
      </c>
    </row>
    <row r="30" spans="1:25" x14ac:dyDescent="0.45">
      <c r="I30" t="s">
        <v>444</v>
      </c>
      <c r="P30" t="s">
        <v>2016</v>
      </c>
      <c r="Y30" t="s">
        <v>2058</v>
      </c>
    </row>
    <row r="31" spans="1:25" x14ac:dyDescent="0.45">
      <c r="A31" t="s">
        <v>40</v>
      </c>
      <c r="I31" t="s">
        <v>445</v>
      </c>
      <c r="P31" t="s">
        <v>2017</v>
      </c>
    </row>
    <row r="32" spans="1:25" x14ac:dyDescent="0.45">
      <c r="I32" t="s">
        <v>446</v>
      </c>
      <c r="P32" t="s">
        <v>2018</v>
      </c>
    </row>
    <row r="33" spans="1:20" x14ac:dyDescent="0.45">
      <c r="A33" t="s">
        <v>407</v>
      </c>
      <c r="I33" t="s">
        <v>447</v>
      </c>
      <c r="P33" t="s">
        <v>2019</v>
      </c>
    </row>
    <row r="34" spans="1:20" x14ac:dyDescent="0.45">
      <c r="I34" t="s">
        <v>448</v>
      </c>
    </row>
    <row r="35" spans="1:20" x14ac:dyDescent="0.45">
      <c r="A35" t="s">
        <v>408</v>
      </c>
      <c r="I35" t="s">
        <v>449</v>
      </c>
    </row>
    <row r="36" spans="1:20" x14ac:dyDescent="0.45">
      <c r="A36" t="s">
        <v>409</v>
      </c>
      <c r="I36" t="s">
        <v>450</v>
      </c>
      <c r="P36" t="s">
        <v>40</v>
      </c>
    </row>
    <row r="37" spans="1:20" x14ac:dyDescent="0.45">
      <c r="A37" t="s">
        <v>410</v>
      </c>
      <c r="I37" t="s">
        <v>451</v>
      </c>
    </row>
    <row r="38" spans="1:20" x14ac:dyDescent="0.45">
      <c r="A38" t="s">
        <v>411</v>
      </c>
      <c r="P38" t="s">
        <v>407</v>
      </c>
    </row>
    <row r="39" spans="1:20" x14ac:dyDescent="0.45">
      <c r="A39" t="s">
        <v>412</v>
      </c>
    </row>
    <row r="40" spans="1:20" x14ac:dyDescent="0.45">
      <c r="A40" t="s">
        <v>413</v>
      </c>
      <c r="I40" t="s">
        <v>452</v>
      </c>
      <c r="P40" t="s">
        <v>2020</v>
      </c>
    </row>
    <row r="41" spans="1:20" x14ac:dyDescent="0.45">
      <c r="A41" t="s">
        <v>414</v>
      </c>
      <c r="P41" t="s">
        <v>2021</v>
      </c>
    </row>
    <row r="42" spans="1:20" x14ac:dyDescent="0.45">
      <c r="A42" t="s">
        <v>415</v>
      </c>
      <c r="I42" t="s">
        <v>453</v>
      </c>
      <c r="P42" t="s">
        <v>2022</v>
      </c>
      <c r="T42" t="s">
        <v>2023</v>
      </c>
    </row>
    <row r="43" spans="1:20" x14ac:dyDescent="0.45">
      <c r="A43" t="s">
        <v>416</v>
      </c>
      <c r="I43" t="s">
        <v>454</v>
      </c>
      <c r="P43" t="s">
        <v>2024</v>
      </c>
    </row>
    <row r="44" spans="1:20" x14ac:dyDescent="0.45">
      <c r="A44" t="s">
        <v>417</v>
      </c>
      <c r="I44" t="s">
        <v>455</v>
      </c>
      <c r="P44" t="s">
        <v>2025</v>
      </c>
    </row>
    <row r="45" spans="1:20" x14ac:dyDescent="0.45">
      <c r="A45" t="s">
        <v>418</v>
      </c>
      <c r="I45" t="s">
        <v>456</v>
      </c>
      <c r="P45" t="s">
        <v>2026</v>
      </c>
    </row>
    <row r="46" spans="1:20" x14ac:dyDescent="0.45">
      <c r="A46" t="s">
        <v>419</v>
      </c>
      <c r="I46" t="s">
        <v>457</v>
      </c>
      <c r="P46" t="s">
        <v>2027</v>
      </c>
    </row>
    <row r="47" spans="1:20" x14ac:dyDescent="0.45">
      <c r="A47" t="s">
        <v>420</v>
      </c>
      <c r="I47" t="s">
        <v>458</v>
      </c>
      <c r="P47" t="s">
        <v>2028</v>
      </c>
    </row>
    <row r="48" spans="1:20" x14ac:dyDescent="0.45">
      <c r="I48" t="s">
        <v>459</v>
      </c>
      <c r="P48" t="s">
        <v>2029</v>
      </c>
    </row>
    <row r="49" spans="9:16" x14ac:dyDescent="0.45">
      <c r="I49" t="s">
        <v>460</v>
      </c>
      <c r="P49" t="s">
        <v>2030</v>
      </c>
    </row>
    <row r="50" spans="9:16" x14ac:dyDescent="0.45">
      <c r="I50" t="s">
        <v>461</v>
      </c>
      <c r="P50" t="s">
        <v>2031</v>
      </c>
    </row>
    <row r="51" spans="9:16" x14ac:dyDescent="0.45">
      <c r="I51" t="s">
        <v>462</v>
      </c>
      <c r="P51" t="s">
        <v>2032</v>
      </c>
    </row>
    <row r="52" spans="9:16" x14ac:dyDescent="0.45">
      <c r="I52" t="s">
        <v>463</v>
      </c>
      <c r="P52" t="s">
        <v>2033</v>
      </c>
    </row>
    <row r="53" spans="9:16" x14ac:dyDescent="0.45">
      <c r="P53" t="s">
        <v>2034</v>
      </c>
    </row>
    <row r="54" spans="9:16" x14ac:dyDescent="0.45">
      <c r="P54" t="s">
        <v>2035</v>
      </c>
    </row>
    <row r="89" spans="17:17" x14ac:dyDescent="0.45">
      <c r="Q89" t="s">
        <v>383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54A9-0982-4845-A2A1-B2E53D68394F}">
  <sheetPr>
    <tabColor theme="4" tint="0.39997558519241921"/>
  </sheetPr>
  <dimension ref="B1:L70"/>
  <sheetViews>
    <sheetView topLeftCell="A10" workbookViewId="0">
      <selection activeCell="H82" sqref="H82"/>
    </sheetView>
  </sheetViews>
  <sheetFormatPr defaultRowHeight="17" x14ac:dyDescent="0.45"/>
  <sheetData>
    <row r="1" spans="2:12" x14ac:dyDescent="0.45">
      <c r="B1" t="s">
        <v>2059</v>
      </c>
    </row>
    <row r="3" spans="2:12" x14ac:dyDescent="0.45">
      <c r="B3" t="s">
        <v>2060</v>
      </c>
      <c r="L3" t="s">
        <v>249</v>
      </c>
    </row>
    <row r="5" spans="2:12" x14ac:dyDescent="0.45">
      <c r="B5" t="s">
        <v>2061</v>
      </c>
      <c r="G5" t="s">
        <v>2100</v>
      </c>
      <c r="L5" t="s">
        <v>2061</v>
      </c>
    </row>
    <row r="7" spans="2:12" x14ac:dyDescent="0.45">
      <c r="B7" t="s">
        <v>2062</v>
      </c>
      <c r="G7" t="s">
        <v>2059</v>
      </c>
    </row>
    <row r="8" spans="2:12" x14ac:dyDescent="0.45">
      <c r="B8" t="s">
        <v>2063</v>
      </c>
      <c r="L8" t="s">
        <v>2119</v>
      </c>
    </row>
    <row r="9" spans="2:12" x14ac:dyDescent="0.45">
      <c r="B9" t="s">
        <v>2064</v>
      </c>
      <c r="G9" t="s">
        <v>2101</v>
      </c>
      <c r="L9" t="s">
        <v>2120</v>
      </c>
    </row>
    <row r="10" spans="2:12" x14ac:dyDescent="0.45">
      <c r="B10" t="s">
        <v>2065</v>
      </c>
      <c r="G10" t="s">
        <v>2102</v>
      </c>
      <c r="L10" t="s">
        <v>2121</v>
      </c>
    </row>
    <row r="11" spans="2:12" x14ac:dyDescent="0.45">
      <c r="B11" t="s">
        <v>2066</v>
      </c>
      <c r="G11" t="s">
        <v>2103</v>
      </c>
      <c r="L11" t="s">
        <v>2122</v>
      </c>
    </row>
    <row r="12" spans="2:12" x14ac:dyDescent="0.45">
      <c r="B12" t="s">
        <v>2067</v>
      </c>
      <c r="G12" t="s">
        <v>2104</v>
      </c>
      <c r="L12" t="s">
        <v>2123</v>
      </c>
    </row>
    <row r="13" spans="2:12" x14ac:dyDescent="0.45">
      <c r="B13" t="s">
        <v>2068</v>
      </c>
      <c r="G13" t="s">
        <v>2105</v>
      </c>
      <c r="L13" t="s">
        <v>2124</v>
      </c>
    </row>
    <row r="14" spans="2:12" x14ac:dyDescent="0.45">
      <c r="B14" t="s">
        <v>2069</v>
      </c>
      <c r="G14" t="s">
        <v>2106</v>
      </c>
      <c r="L14" t="s">
        <v>2125</v>
      </c>
    </row>
    <row r="15" spans="2:12" x14ac:dyDescent="0.45">
      <c r="B15" t="s">
        <v>2070</v>
      </c>
      <c r="G15" t="s">
        <v>2107</v>
      </c>
      <c r="L15" t="s">
        <v>2126</v>
      </c>
    </row>
    <row r="16" spans="2:12" x14ac:dyDescent="0.45">
      <c r="B16" t="s">
        <v>2071</v>
      </c>
      <c r="G16" t="s">
        <v>2108</v>
      </c>
      <c r="L16" t="s">
        <v>2127</v>
      </c>
    </row>
    <row r="17" spans="2:12" x14ac:dyDescent="0.45">
      <c r="G17" t="s">
        <v>2109</v>
      </c>
      <c r="L17" t="s">
        <v>2128</v>
      </c>
    </row>
    <row r="18" spans="2:12" x14ac:dyDescent="0.45">
      <c r="B18" t="s">
        <v>2072</v>
      </c>
      <c r="G18" t="s">
        <v>2110</v>
      </c>
    </row>
    <row r="19" spans="2:12" x14ac:dyDescent="0.45">
      <c r="B19" t="s">
        <v>2073</v>
      </c>
      <c r="L19" t="s">
        <v>2129</v>
      </c>
    </row>
    <row r="20" spans="2:12" x14ac:dyDescent="0.45">
      <c r="B20" t="s">
        <v>2074</v>
      </c>
      <c r="G20" t="s">
        <v>2111</v>
      </c>
      <c r="L20" t="s">
        <v>2130</v>
      </c>
    </row>
    <row r="21" spans="2:12" x14ac:dyDescent="0.45">
      <c r="B21" t="s">
        <v>2075</v>
      </c>
      <c r="G21" t="s">
        <v>2080</v>
      </c>
      <c r="L21" t="s">
        <v>2131</v>
      </c>
    </row>
    <row r="22" spans="2:12" x14ac:dyDescent="0.45">
      <c r="B22" t="s">
        <v>2076</v>
      </c>
      <c r="G22" t="s">
        <v>2081</v>
      </c>
      <c r="L22" t="s">
        <v>2132</v>
      </c>
    </row>
    <row r="23" spans="2:12" x14ac:dyDescent="0.45">
      <c r="B23" t="s">
        <v>2077</v>
      </c>
      <c r="G23" t="s">
        <v>2082</v>
      </c>
      <c r="L23" t="s">
        <v>2133</v>
      </c>
    </row>
    <row r="24" spans="2:12" x14ac:dyDescent="0.45">
      <c r="B24" t="s">
        <v>2078</v>
      </c>
      <c r="G24" t="s">
        <v>2083</v>
      </c>
      <c r="L24" t="s">
        <v>2134</v>
      </c>
    </row>
    <row r="25" spans="2:12" x14ac:dyDescent="0.45">
      <c r="G25" t="s">
        <v>2084</v>
      </c>
      <c r="L25" t="s">
        <v>2135</v>
      </c>
    </row>
    <row r="26" spans="2:12" x14ac:dyDescent="0.45">
      <c r="B26" t="s">
        <v>2079</v>
      </c>
      <c r="G26" t="s">
        <v>2085</v>
      </c>
    </row>
    <row r="27" spans="2:12" x14ac:dyDescent="0.45">
      <c r="B27" t="s">
        <v>2080</v>
      </c>
      <c r="G27" t="s">
        <v>2086</v>
      </c>
      <c r="L27" t="s">
        <v>2136</v>
      </c>
    </row>
    <row r="28" spans="2:12" x14ac:dyDescent="0.45">
      <c r="B28" t="s">
        <v>2081</v>
      </c>
      <c r="G28" t="s">
        <v>2087</v>
      </c>
      <c r="L28" t="s">
        <v>2137</v>
      </c>
    </row>
    <row r="29" spans="2:12" x14ac:dyDescent="0.45">
      <c r="B29" t="s">
        <v>2082</v>
      </c>
      <c r="G29" t="s">
        <v>2088</v>
      </c>
      <c r="L29" t="s">
        <v>2138</v>
      </c>
    </row>
    <row r="30" spans="2:12" x14ac:dyDescent="0.45">
      <c r="B30" t="s">
        <v>2083</v>
      </c>
      <c r="L30" t="s">
        <v>2139</v>
      </c>
    </row>
    <row r="31" spans="2:12" x14ac:dyDescent="0.45">
      <c r="B31" t="s">
        <v>2084</v>
      </c>
      <c r="L31" t="s">
        <v>2140</v>
      </c>
    </row>
    <row r="32" spans="2:12" x14ac:dyDescent="0.45">
      <c r="B32" t="s">
        <v>2085</v>
      </c>
      <c r="G32" t="s">
        <v>2112</v>
      </c>
      <c r="L32" t="s">
        <v>2141</v>
      </c>
    </row>
    <row r="33" spans="2:12" x14ac:dyDescent="0.45">
      <c r="B33" t="s">
        <v>2086</v>
      </c>
      <c r="L33" t="s">
        <v>2142</v>
      </c>
    </row>
    <row r="34" spans="2:12" x14ac:dyDescent="0.45">
      <c r="B34" t="s">
        <v>2087</v>
      </c>
      <c r="G34" t="s">
        <v>2113</v>
      </c>
      <c r="L34" t="s">
        <v>2143</v>
      </c>
    </row>
    <row r="35" spans="2:12" x14ac:dyDescent="0.45">
      <c r="B35" t="s">
        <v>2088</v>
      </c>
      <c r="G35" t="s">
        <v>2114</v>
      </c>
      <c r="L35" t="s">
        <v>2144</v>
      </c>
    </row>
    <row r="36" spans="2:12" x14ac:dyDescent="0.45">
      <c r="G36" t="s">
        <v>2115</v>
      </c>
      <c r="L36" t="s">
        <v>2145</v>
      </c>
    </row>
    <row r="37" spans="2:12" x14ac:dyDescent="0.45">
      <c r="G37" t="s">
        <v>2116</v>
      </c>
    </row>
    <row r="38" spans="2:12" x14ac:dyDescent="0.45">
      <c r="B38" t="s">
        <v>2089</v>
      </c>
      <c r="G38" t="s">
        <v>2117</v>
      </c>
    </row>
    <row r="39" spans="2:12" x14ac:dyDescent="0.45">
      <c r="G39" t="s">
        <v>2118</v>
      </c>
      <c r="L39" t="s">
        <v>2089</v>
      </c>
    </row>
    <row r="40" spans="2:12" x14ac:dyDescent="0.45">
      <c r="B40" t="s">
        <v>2059</v>
      </c>
    </row>
    <row r="41" spans="2:12" x14ac:dyDescent="0.45">
      <c r="L41" t="s">
        <v>2059</v>
      </c>
    </row>
    <row r="42" spans="2:12" x14ac:dyDescent="0.45">
      <c r="B42" t="s">
        <v>2090</v>
      </c>
    </row>
    <row r="43" spans="2:12" x14ac:dyDescent="0.45">
      <c r="B43" t="s">
        <v>2091</v>
      </c>
      <c r="L43" t="s">
        <v>2146</v>
      </c>
    </row>
    <row r="44" spans="2:12" x14ac:dyDescent="0.45">
      <c r="B44" t="s">
        <v>2092</v>
      </c>
      <c r="L44" t="s">
        <v>2147</v>
      </c>
    </row>
    <row r="45" spans="2:12" x14ac:dyDescent="0.45">
      <c r="B45" t="s">
        <v>2093</v>
      </c>
      <c r="L45" t="s">
        <v>2148</v>
      </c>
    </row>
    <row r="46" spans="2:12" x14ac:dyDescent="0.45">
      <c r="B46" t="s">
        <v>2094</v>
      </c>
      <c r="L46" t="s">
        <v>2149</v>
      </c>
    </row>
    <row r="47" spans="2:12" x14ac:dyDescent="0.45">
      <c r="B47" t="s">
        <v>2095</v>
      </c>
      <c r="L47" t="s">
        <v>2150</v>
      </c>
    </row>
    <row r="48" spans="2:12" x14ac:dyDescent="0.45">
      <c r="B48" t="s">
        <v>2096</v>
      </c>
      <c r="L48" t="s">
        <v>2151</v>
      </c>
    </row>
    <row r="49" spans="2:12" x14ac:dyDescent="0.45">
      <c r="B49" t="s">
        <v>2097</v>
      </c>
      <c r="L49" t="s">
        <v>2152</v>
      </c>
    </row>
    <row r="50" spans="2:12" x14ac:dyDescent="0.45">
      <c r="B50" t="s">
        <v>2098</v>
      </c>
      <c r="L50" t="s">
        <v>2153</v>
      </c>
    </row>
    <row r="51" spans="2:12" x14ac:dyDescent="0.45">
      <c r="B51" t="s">
        <v>2099</v>
      </c>
      <c r="L51" t="s">
        <v>2154</v>
      </c>
    </row>
    <row r="52" spans="2:12" x14ac:dyDescent="0.45">
      <c r="L52" t="s">
        <v>2155</v>
      </c>
    </row>
    <row r="53" spans="2:12" x14ac:dyDescent="0.45">
      <c r="B53" t="s">
        <v>2079</v>
      </c>
    </row>
    <row r="54" spans="2:12" x14ac:dyDescent="0.45">
      <c r="B54" t="s">
        <v>2080</v>
      </c>
    </row>
    <row r="55" spans="2:12" x14ac:dyDescent="0.45">
      <c r="B55" t="s">
        <v>2081</v>
      </c>
      <c r="L55" t="s">
        <v>2100</v>
      </c>
    </row>
    <row r="56" spans="2:12" x14ac:dyDescent="0.45">
      <c r="B56" t="s">
        <v>2082</v>
      </c>
    </row>
    <row r="57" spans="2:12" x14ac:dyDescent="0.45">
      <c r="B57" t="s">
        <v>2083</v>
      </c>
      <c r="L57" t="s">
        <v>2059</v>
      </c>
    </row>
    <row r="58" spans="2:12" x14ac:dyDescent="0.45">
      <c r="B58" t="s">
        <v>2084</v>
      </c>
    </row>
    <row r="59" spans="2:12" x14ac:dyDescent="0.45">
      <c r="B59" t="s">
        <v>2085</v>
      </c>
      <c r="L59" t="s">
        <v>2156</v>
      </c>
    </row>
    <row r="60" spans="2:12" x14ac:dyDescent="0.45">
      <c r="B60" t="s">
        <v>2086</v>
      </c>
      <c r="L60" t="s">
        <v>2157</v>
      </c>
    </row>
    <row r="61" spans="2:12" x14ac:dyDescent="0.45">
      <c r="B61" t="s">
        <v>2087</v>
      </c>
      <c r="L61" t="s">
        <v>2158</v>
      </c>
    </row>
    <row r="62" spans="2:12" x14ac:dyDescent="0.45">
      <c r="B62" t="s">
        <v>2088</v>
      </c>
      <c r="L62" t="s">
        <v>2159</v>
      </c>
    </row>
    <row r="63" spans="2:12" x14ac:dyDescent="0.45">
      <c r="L63" t="s">
        <v>2160</v>
      </c>
    </row>
    <row r="64" spans="2:12" x14ac:dyDescent="0.45">
      <c r="L64" t="s">
        <v>2161</v>
      </c>
    </row>
    <row r="65" spans="12:12" x14ac:dyDescent="0.45">
      <c r="L65" t="s">
        <v>2162</v>
      </c>
    </row>
    <row r="66" spans="12:12" x14ac:dyDescent="0.45">
      <c r="L66" t="s">
        <v>2163</v>
      </c>
    </row>
    <row r="67" spans="12:12" x14ac:dyDescent="0.45">
      <c r="L67" t="s">
        <v>2164</v>
      </c>
    </row>
    <row r="68" spans="12:12" x14ac:dyDescent="0.45">
      <c r="L68" t="s">
        <v>2165</v>
      </c>
    </row>
    <row r="70" spans="12:12" x14ac:dyDescent="0.45">
      <c r="L70" t="s">
        <v>530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B766-5C80-4D97-BCEA-C865C5D3C40B}">
  <sheetPr>
    <tabColor theme="4" tint="0.39997558519241921"/>
  </sheetPr>
  <dimension ref="B3:I44"/>
  <sheetViews>
    <sheetView workbookViewId="0">
      <selection activeCell="M45" sqref="M45"/>
    </sheetView>
  </sheetViews>
  <sheetFormatPr defaultRowHeight="17" x14ac:dyDescent="0.45"/>
  <sheetData>
    <row r="3" spans="2:9" x14ac:dyDescent="0.45">
      <c r="B3" t="s">
        <v>160</v>
      </c>
    </row>
    <row r="5" spans="2:9" x14ac:dyDescent="0.45">
      <c r="B5" t="s">
        <v>464</v>
      </c>
      <c r="I5" t="s">
        <v>249</v>
      </c>
    </row>
    <row r="7" spans="2:9" x14ac:dyDescent="0.45">
      <c r="B7" t="s">
        <v>465</v>
      </c>
      <c r="I7" t="s">
        <v>493</v>
      </c>
    </row>
    <row r="8" spans="2:9" x14ac:dyDescent="0.45">
      <c r="B8" t="s">
        <v>466</v>
      </c>
      <c r="I8" t="s">
        <v>494</v>
      </c>
    </row>
    <row r="9" spans="2:9" x14ac:dyDescent="0.45">
      <c r="B9" t="s">
        <v>467</v>
      </c>
      <c r="I9" t="s">
        <v>495</v>
      </c>
    </row>
    <row r="10" spans="2:9" x14ac:dyDescent="0.45">
      <c r="B10" t="s">
        <v>468</v>
      </c>
      <c r="I10" t="s">
        <v>496</v>
      </c>
    </row>
    <row r="11" spans="2:9" x14ac:dyDescent="0.45">
      <c r="B11" t="s">
        <v>469</v>
      </c>
      <c r="I11" t="s">
        <v>497</v>
      </c>
    </row>
    <row r="12" spans="2:9" x14ac:dyDescent="0.45">
      <c r="B12" t="s">
        <v>470</v>
      </c>
      <c r="I12" t="s">
        <v>498</v>
      </c>
    </row>
    <row r="13" spans="2:9" x14ac:dyDescent="0.45">
      <c r="B13" t="s">
        <v>471</v>
      </c>
      <c r="I13" t="s">
        <v>499</v>
      </c>
    </row>
    <row r="14" spans="2:9" x14ac:dyDescent="0.45">
      <c r="B14" t="s">
        <v>472</v>
      </c>
      <c r="I14" t="s">
        <v>500</v>
      </c>
    </row>
    <row r="15" spans="2:9" x14ac:dyDescent="0.45">
      <c r="B15" t="s">
        <v>473</v>
      </c>
      <c r="I15" t="s">
        <v>501</v>
      </c>
    </row>
    <row r="16" spans="2:9" x14ac:dyDescent="0.45">
      <c r="B16" t="s">
        <v>474</v>
      </c>
      <c r="I16" t="s">
        <v>502</v>
      </c>
    </row>
    <row r="17" spans="2:9" x14ac:dyDescent="0.45">
      <c r="B17" t="s">
        <v>475</v>
      </c>
      <c r="I17" t="s">
        <v>503</v>
      </c>
    </row>
    <row r="18" spans="2:9" x14ac:dyDescent="0.45">
      <c r="B18" t="s">
        <v>476</v>
      </c>
      <c r="I18" t="s">
        <v>504</v>
      </c>
    </row>
    <row r="19" spans="2:9" x14ac:dyDescent="0.45">
      <c r="B19" t="s">
        <v>477</v>
      </c>
      <c r="I19" t="s">
        <v>505</v>
      </c>
    </row>
    <row r="20" spans="2:9" x14ac:dyDescent="0.45">
      <c r="B20" t="s">
        <v>478</v>
      </c>
      <c r="I20" t="s">
        <v>506</v>
      </c>
    </row>
    <row r="21" spans="2:9" x14ac:dyDescent="0.45">
      <c r="B21" t="s">
        <v>479</v>
      </c>
      <c r="I21" t="s">
        <v>507</v>
      </c>
    </row>
    <row r="22" spans="2:9" x14ac:dyDescent="0.45">
      <c r="B22" t="s">
        <v>480</v>
      </c>
      <c r="I22" t="s">
        <v>508</v>
      </c>
    </row>
    <row r="23" spans="2:9" x14ac:dyDescent="0.45">
      <c r="B23" t="s">
        <v>481</v>
      </c>
      <c r="I23" t="s">
        <v>509</v>
      </c>
    </row>
    <row r="24" spans="2:9" x14ac:dyDescent="0.45">
      <c r="B24" t="s">
        <v>482</v>
      </c>
      <c r="I24" t="s">
        <v>510</v>
      </c>
    </row>
    <row r="25" spans="2:9" x14ac:dyDescent="0.45">
      <c r="B25" t="s">
        <v>483</v>
      </c>
      <c r="I25" t="s">
        <v>511</v>
      </c>
    </row>
    <row r="26" spans="2:9" x14ac:dyDescent="0.45">
      <c r="B26" t="s">
        <v>484</v>
      </c>
      <c r="I26" t="s">
        <v>512</v>
      </c>
    </row>
    <row r="27" spans="2:9" x14ac:dyDescent="0.45">
      <c r="B27" t="s">
        <v>485</v>
      </c>
      <c r="I27" t="s">
        <v>513</v>
      </c>
    </row>
    <row r="28" spans="2:9" x14ac:dyDescent="0.45">
      <c r="B28" t="s">
        <v>486</v>
      </c>
      <c r="I28" t="s">
        <v>514</v>
      </c>
    </row>
    <row r="29" spans="2:9" x14ac:dyDescent="0.45">
      <c r="B29" t="s">
        <v>487</v>
      </c>
      <c r="I29" t="s">
        <v>515</v>
      </c>
    </row>
    <row r="30" spans="2:9" x14ac:dyDescent="0.45">
      <c r="B30" t="s">
        <v>488</v>
      </c>
      <c r="I30" t="s">
        <v>516</v>
      </c>
    </row>
    <row r="31" spans="2:9" x14ac:dyDescent="0.45">
      <c r="B31" t="s">
        <v>489</v>
      </c>
      <c r="I31" t="s">
        <v>517</v>
      </c>
    </row>
    <row r="32" spans="2:9" x14ac:dyDescent="0.45">
      <c r="B32" t="s">
        <v>490</v>
      </c>
      <c r="I32" t="s">
        <v>518</v>
      </c>
    </row>
    <row r="33" spans="2:9" x14ac:dyDescent="0.45">
      <c r="B33" t="s">
        <v>491</v>
      </c>
      <c r="I33" t="s">
        <v>519</v>
      </c>
    </row>
    <row r="34" spans="2:9" x14ac:dyDescent="0.45">
      <c r="B34" t="s">
        <v>492</v>
      </c>
      <c r="I34" t="s">
        <v>520</v>
      </c>
    </row>
    <row r="35" spans="2:9" x14ac:dyDescent="0.45">
      <c r="I35" t="s">
        <v>521</v>
      </c>
    </row>
    <row r="36" spans="2:9" x14ac:dyDescent="0.45">
      <c r="I36" t="s">
        <v>522</v>
      </c>
    </row>
    <row r="37" spans="2:9" x14ac:dyDescent="0.45">
      <c r="I37" t="s">
        <v>523</v>
      </c>
    </row>
    <row r="38" spans="2:9" x14ac:dyDescent="0.45">
      <c r="I38" t="s">
        <v>524</v>
      </c>
    </row>
    <row r="39" spans="2:9" x14ac:dyDescent="0.45">
      <c r="I39" t="s">
        <v>525</v>
      </c>
    </row>
    <row r="40" spans="2:9" x14ac:dyDescent="0.45">
      <c r="I40" t="s">
        <v>526</v>
      </c>
    </row>
    <row r="41" spans="2:9" x14ac:dyDescent="0.45">
      <c r="I41" t="s">
        <v>527</v>
      </c>
    </row>
    <row r="42" spans="2:9" x14ac:dyDescent="0.45">
      <c r="I42" t="s">
        <v>528</v>
      </c>
    </row>
    <row r="43" spans="2:9" x14ac:dyDescent="0.45">
      <c r="I43" t="s">
        <v>529</v>
      </c>
    </row>
    <row r="44" spans="2:9" x14ac:dyDescent="0.45">
      <c r="I44" t="s">
        <v>530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825B-20D0-445E-B5AB-A2A4E9E34077}">
  <sheetPr>
    <tabColor theme="4" tint="0.39997558519241921"/>
  </sheetPr>
  <dimension ref="B2:J38"/>
  <sheetViews>
    <sheetView workbookViewId="0">
      <selection activeCell="I24" sqref="I24"/>
    </sheetView>
  </sheetViews>
  <sheetFormatPr defaultRowHeight="17" x14ac:dyDescent="0.45"/>
  <cols>
    <col min="2" max="2" width="30.08203125" customWidth="1"/>
  </cols>
  <sheetData>
    <row r="2" spans="2:10" x14ac:dyDescent="0.45">
      <c r="B2" t="s">
        <v>160</v>
      </c>
    </row>
    <row r="4" spans="2:10" x14ac:dyDescent="0.45">
      <c r="B4" t="s">
        <v>531</v>
      </c>
      <c r="I4" t="s">
        <v>249</v>
      </c>
    </row>
    <row r="6" spans="2:10" x14ac:dyDescent="0.45">
      <c r="B6" t="s">
        <v>532</v>
      </c>
      <c r="C6" t="s">
        <v>533</v>
      </c>
      <c r="I6" t="s">
        <v>587</v>
      </c>
      <c r="J6" t="s">
        <v>588</v>
      </c>
    </row>
    <row r="7" spans="2:10" x14ac:dyDescent="0.45">
      <c r="B7" t="s">
        <v>534</v>
      </c>
      <c r="C7" t="s">
        <v>535</v>
      </c>
      <c r="I7" t="s">
        <v>589</v>
      </c>
      <c r="J7" t="s">
        <v>590</v>
      </c>
    </row>
    <row r="8" spans="2:10" x14ac:dyDescent="0.45">
      <c r="B8" t="s">
        <v>536</v>
      </c>
      <c r="C8" t="s">
        <v>537</v>
      </c>
      <c r="I8" t="s">
        <v>591</v>
      </c>
      <c r="J8" t="s">
        <v>592</v>
      </c>
    </row>
    <row r="9" spans="2:10" x14ac:dyDescent="0.45">
      <c r="B9" t="s">
        <v>538</v>
      </c>
      <c r="C9" t="s">
        <v>539</v>
      </c>
      <c r="I9" t="s">
        <v>593</v>
      </c>
      <c r="J9" t="s">
        <v>594</v>
      </c>
    </row>
    <row r="10" spans="2:10" x14ac:dyDescent="0.45">
      <c r="B10" t="s">
        <v>540</v>
      </c>
      <c r="C10" t="s">
        <v>541</v>
      </c>
      <c r="I10" t="s">
        <v>595</v>
      </c>
      <c r="J10" t="s">
        <v>596</v>
      </c>
    </row>
    <row r="11" spans="2:10" x14ac:dyDescent="0.45">
      <c r="B11" t="s">
        <v>542</v>
      </c>
      <c r="D11" t="s">
        <v>543</v>
      </c>
      <c r="I11" t="s">
        <v>597</v>
      </c>
      <c r="J11" t="s">
        <v>598</v>
      </c>
    </row>
    <row r="12" spans="2:10" x14ac:dyDescent="0.45">
      <c r="B12" t="s">
        <v>544</v>
      </c>
      <c r="C12" t="s">
        <v>545</v>
      </c>
      <c r="I12" t="s">
        <v>599</v>
      </c>
      <c r="J12" t="s">
        <v>600</v>
      </c>
    </row>
    <row r="13" spans="2:10" x14ac:dyDescent="0.45">
      <c r="B13" t="s">
        <v>546</v>
      </c>
      <c r="C13" t="s">
        <v>547</v>
      </c>
      <c r="I13" t="s">
        <v>601</v>
      </c>
      <c r="J13" t="s">
        <v>602</v>
      </c>
    </row>
    <row r="14" spans="2:10" x14ac:dyDescent="0.45">
      <c r="B14" t="s">
        <v>548</v>
      </c>
      <c r="C14" t="s">
        <v>549</v>
      </c>
      <c r="I14" t="s">
        <v>603</v>
      </c>
    </row>
    <row r="15" spans="2:10" x14ac:dyDescent="0.45">
      <c r="B15" t="s">
        <v>550</v>
      </c>
      <c r="C15" t="s">
        <v>551</v>
      </c>
      <c r="I15" t="s">
        <v>604</v>
      </c>
    </row>
    <row r="16" spans="2:10" x14ac:dyDescent="0.45">
      <c r="B16" t="s">
        <v>552</v>
      </c>
      <c r="C16" t="s">
        <v>553</v>
      </c>
      <c r="I16" t="s">
        <v>605</v>
      </c>
    </row>
    <row r="17" spans="2:9" x14ac:dyDescent="0.45">
      <c r="B17" t="s">
        <v>554</v>
      </c>
      <c r="C17" t="s">
        <v>555</v>
      </c>
      <c r="I17" t="s">
        <v>606</v>
      </c>
    </row>
    <row r="18" spans="2:9" x14ac:dyDescent="0.45">
      <c r="B18" t="s">
        <v>556</v>
      </c>
      <c r="C18" t="s">
        <v>557</v>
      </c>
      <c r="I18" t="s">
        <v>607</v>
      </c>
    </row>
    <row r="19" spans="2:9" x14ac:dyDescent="0.45">
      <c r="B19" t="s">
        <v>558</v>
      </c>
      <c r="C19" t="s">
        <v>559</v>
      </c>
      <c r="I19" t="s">
        <v>608</v>
      </c>
    </row>
    <row r="20" spans="2:9" x14ac:dyDescent="0.45">
      <c r="B20" t="s">
        <v>560</v>
      </c>
      <c r="C20" t="s">
        <v>561</v>
      </c>
      <c r="I20" t="s">
        <v>609</v>
      </c>
    </row>
    <row r="21" spans="2:9" x14ac:dyDescent="0.45">
      <c r="B21" t="s">
        <v>562</v>
      </c>
      <c r="C21" t="s">
        <v>563</v>
      </c>
      <c r="I21" t="s">
        <v>610</v>
      </c>
    </row>
    <row r="22" spans="2:9" x14ac:dyDescent="0.45">
      <c r="B22" t="s">
        <v>564</v>
      </c>
      <c r="C22" t="s">
        <v>565</v>
      </c>
      <c r="I22" t="s">
        <v>611</v>
      </c>
    </row>
    <row r="23" spans="2:9" x14ac:dyDescent="0.45">
      <c r="B23" t="s">
        <v>566</v>
      </c>
      <c r="C23" t="s">
        <v>567</v>
      </c>
      <c r="I23" t="s">
        <v>612</v>
      </c>
    </row>
    <row r="24" spans="2:9" x14ac:dyDescent="0.45">
      <c r="B24" t="s">
        <v>568</v>
      </c>
      <c r="C24" t="s">
        <v>569</v>
      </c>
      <c r="I24" t="s">
        <v>613</v>
      </c>
    </row>
    <row r="25" spans="2:9" x14ac:dyDescent="0.45">
      <c r="B25" t="s">
        <v>570</v>
      </c>
      <c r="C25" t="s">
        <v>571</v>
      </c>
      <c r="I25" t="s">
        <v>614</v>
      </c>
    </row>
    <row r="26" spans="2:9" x14ac:dyDescent="0.45">
      <c r="B26" t="s">
        <v>572</v>
      </c>
      <c r="C26" t="s">
        <v>573</v>
      </c>
      <c r="I26" t="s">
        <v>615</v>
      </c>
    </row>
    <row r="27" spans="2:9" x14ac:dyDescent="0.45">
      <c r="B27" t="s">
        <v>574</v>
      </c>
      <c r="C27" t="s">
        <v>575</v>
      </c>
      <c r="I27" t="s">
        <v>616</v>
      </c>
    </row>
    <row r="28" spans="2:9" x14ac:dyDescent="0.45">
      <c r="B28" t="s">
        <v>576</v>
      </c>
      <c r="I28" t="s">
        <v>617</v>
      </c>
    </row>
    <row r="29" spans="2:9" x14ac:dyDescent="0.45">
      <c r="B29" t="s">
        <v>577</v>
      </c>
      <c r="C29" t="s">
        <v>578</v>
      </c>
      <c r="I29" t="s">
        <v>618</v>
      </c>
    </row>
    <row r="30" spans="2:9" x14ac:dyDescent="0.45">
      <c r="B30" t="s">
        <v>579</v>
      </c>
      <c r="C30" t="s">
        <v>580</v>
      </c>
      <c r="I30" t="s">
        <v>619</v>
      </c>
    </row>
    <row r="31" spans="2:9" x14ac:dyDescent="0.45">
      <c r="B31" t="s">
        <v>581</v>
      </c>
      <c r="C31" t="s">
        <v>582</v>
      </c>
      <c r="I31" t="s">
        <v>620</v>
      </c>
    </row>
    <row r="32" spans="2:9" x14ac:dyDescent="0.45">
      <c r="B32" t="s">
        <v>583</v>
      </c>
      <c r="C32" t="s">
        <v>584</v>
      </c>
      <c r="I32" t="s">
        <v>621</v>
      </c>
    </row>
    <row r="33" spans="2:10" x14ac:dyDescent="0.45">
      <c r="B33" t="s">
        <v>585</v>
      </c>
      <c r="C33" t="s">
        <v>586</v>
      </c>
      <c r="I33" t="s">
        <v>622</v>
      </c>
    </row>
    <row r="34" spans="2:10" x14ac:dyDescent="0.45">
      <c r="I34" t="s">
        <v>623</v>
      </c>
      <c r="J34" t="s">
        <v>624</v>
      </c>
    </row>
    <row r="35" spans="2:10" x14ac:dyDescent="0.45">
      <c r="I35" t="s">
        <v>625</v>
      </c>
    </row>
    <row r="38" spans="2:10" x14ac:dyDescent="0.45">
      <c r="I38" t="s">
        <v>530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3B2D-88F5-41A0-BEA5-8F68B746491B}">
  <sheetPr>
    <tabColor theme="4" tint="0.39997558519241921"/>
  </sheetPr>
  <dimension ref="B2:B45"/>
  <sheetViews>
    <sheetView workbookViewId="0">
      <selection activeCell="I11" sqref="I11"/>
    </sheetView>
  </sheetViews>
  <sheetFormatPr defaultRowHeight="17" x14ac:dyDescent="0.45"/>
  <sheetData>
    <row r="2" spans="2:2" x14ac:dyDescent="0.45">
      <c r="B2" t="s">
        <v>160</v>
      </c>
    </row>
    <row r="4" spans="2:2" x14ac:dyDescent="0.45">
      <c r="B4" t="s">
        <v>626</v>
      </c>
    </row>
    <row r="6" spans="2:2" x14ac:dyDescent="0.45">
      <c r="B6" t="s">
        <v>627</v>
      </c>
    </row>
    <row r="7" spans="2:2" x14ac:dyDescent="0.45">
      <c r="B7" t="s">
        <v>628</v>
      </c>
    </row>
    <row r="8" spans="2:2" x14ac:dyDescent="0.45">
      <c r="B8" t="s">
        <v>629</v>
      </c>
    </row>
    <row r="9" spans="2:2" x14ac:dyDescent="0.45">
      <c r="B9" t="s">
        <v>630</v>
      </c>
    </row>
    <row r="10" spans="2:2" x14ac:dyDescent="0.45">
      <c r="B10" t="s">
        <v>631</v>
      </c>
    </row>
    <row r="11" spans="2:2" x14ac:dyDescent="0.45">
      <c r="B11" t="s">
        <v>632</v>
      </c>
    </row>
    <row r="12" spans="2:2" x14ac:dyDescent="0.45">
      <c r="B12" t="s">
        <v>633</v>
      </c>
    </row>
    <row r="13" spans="2:2" x14ac:dyDescent="0.45">
      <c r="B13" t="s">
        <v>634</v>
      </c>
    </row>
    <row r="14" spans="2:2" x14ac:dyDescent="0.45">
      <c r="B14" t="s">
        <v>635</v>
      </c>
    </row>
    <row r="15" spans="2:2" x14ac:dyDescent="0.45">
      <c r="B15" t="s">
        <v>636</v>
      </c>
    </row>
    <row r="16" spans="2:2" x14ac:dyDescent="0.45">
      <c r="B16" t="s">
        <v>637</v>
      </c>
    </row>
    <row r="17" spans="2:2" x14ac:dyDescent="0.45">
      <c r="B17" t="s">
        <v>638</v>
      </c>
    </row>
    <row r="18" spans="2:2" x14ac:dyDescent="0.45">
      <c r="B18" t="s">
        <v>639</v>
      </c>
    </row>
    <row r="19" spans="2:2" x14ac:dyDescent="0.45">
      <c r="B19" t="s">
        <v>640</v>
      </c>
    </row>
    <row r="20" spans="2:2" x14ac:dyDescent="0.45">
      <c r="B20" t="s">
        <v>641</v>
      </c>
    </row>
    <row r="21" spans="2:2" x14ac:dyDescent="0.45">
      <c r="B21" t="s">
        <v>642</v>
      </c>
    </row>
    <row r="22" spans="2:2" x14ac:dyDescent="0.45">
      <c r="B22" t="s">
        <v>643</v>
      </c>
    </row>
    <row r="23" spans="2:2" x14ac:dyDescent="0.45">
      <c r="B23" t="s">
        <v>644</v>
      </c>
    </row>
    <row r="24" spans="2:2" x14ac:dyDescent="0.45">
      <c r="B24" t="s">
        <v>645</v>
      </c>
    </row>
    <row r="25" spans="2:2" x14ac:dyDescent="0.45">
      <c r="B25" t="s">
        <v>646</v>
      </c>
    </row>
    <row r="26" spans="2:2" x14ac:dyDescent="0.45">
      <c r="B26" t="s">
        <v>647</v>
      </c>
    </row>
    <row r="27" spans="2:2" x14ac:dyDescent="0.45">
      <c r="B27" t="s">
        <v>648</v>
      </c>
    </row>
    <row r="28" spans="2:2" x14ac:dyDescent="0.45">
      <c r="B28" t="s">
        <v>649</v>
      </c>
    </row>
    <row r="29" spans="2:2" x14ac:dyDescent="0.45">
      <c r="B29" t="s">
        <v>650</v>
      </c>
    </row>
    <row r="30" spans="2:2" x14ac:dyDescent="0.45">
      <c r="B30" t="s">
        <v>651</v>
      </c>
    </row>
    <row r="31" spans="2:2" x14ac:dyDescent="0.45">
      <c r="B31" t="s">
        <v>652</v>
      </c>
    </row>
    <row r="32" spans="2:2" x14ac:dyDescent="0.45">
      <c r="B32" t="s">
        <v>653</v>
      </c>
    </row>
    <row r="33" spans="2:2" x14ac:dyDescent="0.45">
      <c r="B33" t="s">
        <v>654</v>
      </c>
    </row>
    <row r="34" spans="2:2" x14ac:dyDescent="0.45">
      <c r="B34" t="s">
        <v>655</v>
      </c>
    </row>
    <row r="35" spans="2:2" x14ac:dyDescent="0.45">
      <c r="B35" t="s">
        <v>656</v>
      </c>
    </row>
    <row r="36" spans="2:2" x14ac:dyDescent="0.45">
      <c r="B36" t="s">
        <v>657</v>
      </c>
    </row>
    <row r="37" spans="2:2" x14ac:dyDescent="0.45">
      <c r="B37" t="s">
        <v>658</v>
      </c>
    </row>
    <row r="38" spans="2:2" x14ac:dyDescent="0.45">
      <c r="B38" t="s">
        <v>659</v>
      </c>
    </row>
    <row r="39" spans="2:2" x14ac:dyDescent="0.45">
      <c r="B39" t="s">
        <v>660</v>
      </c>
    </row>
    <row r="40" spans="2:2" x14ac:dyDescent="0.45">
      <c r="B40" t="s">
        <v>661</v>
      </c>
    </row>
    <row r="41" spans="2:2" x14ac:dyDescent="0.45">
      <c r="B41" t="s">
        <v>662</v>
      </c>
    </row>
    <row r="42" spans="2:2" x14ac:dyDescent="0.45">
      <c r="B42" t="s">
        <v>663</v>
      </c>
    </row>
    <row r="43" spans="2:2" x14ac:dyDescent="0.45">
      <c r="B43" t="s">
        <v>664</v>
      </c>
    </row>
    <row r="45" spans="2:2" x14ac:dyDescent="0.45">
      <c r="B45" t="s">
        <v>530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9888-8D74-469C-B7EC-E7BA3FD3D763}">
  <sheetPr>
    <tabColor theme="4" tint="0.39997558519241921"/>
  </sheetPr>
  <dimension ref="B2:B18"/>
  <sheetViews>
    <sheetView workbookViewId="0">
      <selection activeCell="I11" sqref="I11"/>
    </sheetView>
  </sheetViews>
  <sheetFormatPr defaultRowHeight="17" x14ac:dyDescent="0.45"/>
  <sheetData>
    <row r="2" spans="2:2" x14ac:dyDescent="0.45">
      <c r="B2" t="s">
        <v>160</v>
      </c>
    </row>
    <row r="4" spans="2:2" x14ac:dyDescent="0.45">
      <c r="B4" t="s">
        <v>665</v>
      </c>
    </row>
    <row r="6" spans="2:2" x14ac:dyDescent="0.45">
      <c r="B6" t="s">
        <v>666</v>
      </c>
    </row>
    <row r="7" spans="2:2" x14ac:dyDescent="0.45">
      <c r="B7" t="s">
        <v>667</v>
      </c>
    </row>
    <row r="8" spans="2:2" x14ac:dyDescent="0.45">
      <c r="B8" t="s">
        <v>668</v>
      </c>
    </row>
    <row r="9" spans="2:2" x14ac:dyDescent="0.45">
      <c r="B9" t="s">
        <v>669</v>
      </c>
    </row>
    <row r="10" spans="2:2" x14ac:dyDescent="0.45">
      <c r="B10" t="s">
        <v>670</v>
      </c>
    </row>
    <row r="11" spans="2:2" x14ac:dyDescent="0.45">
      <c r="B11" t="s">
        <v>671</v>
      </c>
    </row>
    <row r="12" spans="2:2" x14ac:dyDescent="0.45">
      <c r="B12" t="s">
        <v>672</v>
      </c>
    </row>
    <row r="13" spans="2:2" x14ac:dyDescent="0.45">
      <c r="B13" t="s">
        <v>673</v>
      </c>
    </row>
    <row r="14" spans="2:2" x14ac:dyDescent="0.45">
      <c r="B14" t="s">
        <v>674</v>
      </c>
    </row>
    <row r="15" spans="2:2" x14ac:dyDescent="0.45">
      <c r="B15" t="s">
        <v>675</v>
      </c>
    </row>
    <row r="16" spans="2:2" x14ac:dyDescent="0.45">
      <c r="B16" t="s">
        <v>676</v>
      </c>
    </row>
    <row r="18" spans="2:2" x14ac:dyDescent="0.45">
      <c r="B18" t="s">
        <v>530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BA30-01E6-4B32-B744-143B371F512D}">
  <sheetPr>
    <tabColor rgb="FFFF0000"/>
  </sheetPr>
  <dimension ref="B2:B250"/>
  <sheetViews>
    <sheetView topLeftCell="A214" workbookViewId="0">
      <selection activeCell="J128" sqref="J128"/>
    </sheetView>
  </sheetViews>
  <sheetFormatPr defaultRowHeight="17" x14ac:dyDescent="0.45"/>
  <sheetData>
    <row r="2" spans="2:2" x14ac:dyDescent="0.45">
      <c r="B2" t="s">
        <v>27</v>
      </c>
    </row>
    <row r="4" spans="2:2" x14ac:dyDescent="0.45">
      <c r="B4" t="s">
        <v>677</v>
      </c>
    </row>
    <row r="5" spans="2:2" x14ac:dyDescent="0.45">
      <c r="B5" t="s">
        <v>678</v>
      </c>
    </row>
    <row r="6" spans="2:2" x14ac:dyDescent="0.45">
      <c r="B6" t="s">
        <v>679</v>
      </c>
    </row>
    <row r="7" spans="2:2" x14ac:dyDescent="0.45">
      <c r="B7" t="s">
        <v>680</v>
      </c>
    </row>
    <row r="8" spans="2:2" x14ac:dyDescent="0.45">
      <c r="B8" t="s">
        <v>681</v>
      </c>
    </row>
    <row r="10" spans="2:2" x14ac:dyDescent="0.45">
      <c r="B10" t="s">
        <v>682</v>
      </c>
    </row>
    <row r="11" spans="2:2" x14ac:dyDescent="0.45">
      <c r="B11" t="s">
        <v>683</v>
      </c>
    </row>
    <row r="12" spans="2:2" x14ac:dyDescent="0.45">
      <c r="B12" t="s">
        <v>684</v>
      </c>
    </row>
    <row r="13" spans="2:2" x14ac:dyDescent="0.45">
      <c r="B13" t="s">
        <v>685</v>
      </c>
    </row>
    <row r="14" spans="2:2" x14ac:dyDescent="0.45">
      <c r="B14" t="s">
        <v>686</v>
      </c>
    </row>
    <row r="15" spans="2:2" x14ac:dyDescent="0.45">
      <c r="B15" t="s">
        <v>687</v>
      </c>
    </row>
    <row r="16" spans="2:2" x14ac:dyDescent="0.45">
      <c r="B16" t="s">
        <v>688</v>
      </c>
    </row>
    <row r="17" spans="2:2" x14ac:dyDescent="0.45">
      <c r="B17" t="s">
        <v>689</v>
      </c>
    </row>
    <row r="18" spans="2:2" x14ac:dyDescent="0.45">
      <c r="B18" t="s">
        <v>690</v>
      </c>
    </row>
    <row r="19" spans="2:2" x14ac:dyDescent="0.45">
      <c r="B19" t="s">
        <v>691</v>
      </c>
    </row>
    <row r="20" spans="2:2" x14ac:dyDescent="0.45">
      <c r="B20" t="s">
        <v>692</v>
      </c>
    </row>
    <row r="21" spans="2:2" x14ac:dyDescent="0.45">
      <c r="B21" t="s">
        <v>693</v>
      </c>
    </row>
    <row r="22" spans="2:2" x14ac:dyDescent="0.45">
      <c r="B22" t="s">
        <v>694</v>
      </c>
    </row>
    <row r="23" spans="2:2" x14ac:dyDescent="0.45">
      <c r="B23" t="s">
        <v>695</v>
      </c>
    </row>
    <row r="24" spans="2:2" x14ac:dyDescent="0.45">
      <c r="B24" t="s">
        <v>696</v>
      </c>
    </row>
    <row r="25" spans="2:2" x14ac:dyDescent="0.45">
      <c r="B25" t="s">
        <v>697</v>
      </c>
    </row>
    <row r="26" spans="2:2" x14ac:dyDescent="0.45">
      <c r="B26" t="s">
        <v>698</v>
      </c>
    </row>
    <row r="27" spans="2:2" x14ac:dyDescent="0.45">
      <c r="B27" t="s">
        <v>699</v>
      </c>
    </row>
    <row r="28" spans="2:2" x14ac:dyDescent="0.45">
      <c r="B28" t="s">
        <v>700</v>
      </c>
    </row>
    <row r="29" spans="2:2" x14ac:dyDescent="0.45">
      <c r="B29" t="s">
        <v>701</v>
      </c>
    </row>
    <row r="30" spans="2:2" x14ac:dyDescent="0.45">
      <c r="B30" t="s">
        <v>702</v>
      </c>
    </row>
    <row r="31" spans="2:2" x14ac:dyDescent="0.45">
      <c r="B31" t="s">
        <v>703</v>
      </c>
    </row>
    <row r="32" spans="2:2" x14ac:dyDescent="0.45">
      <c r="B32" t="s">
        <v>704</v>
      </c>
    </row>
    <row r="33" spans="2:2" x14ac:dyDescent="0.45">
      <c r="B33" t="s">
        <v>705</v>
      </c>
    </row>
    <row r="34" spans="2:2" x14ac:dyDescent="0.45">
      <c r="B34" t="s">
        <v>706</v>
      </c>
    </row>
    <row r="35" spans="2:2" x14ac:dyDescent="0.45">
      <c r="B35" t="s">
        <v>707</v>
      </c>
    </row>
    <row r="36" spans="2:2" x14ac:dyDescent="0.45">
      <c r="B36" t="s">
        <v>708</v>
      </c>
    </row>
    <row r="37" spans="2:2" x14ac:dyDescent="0.45">
      <c r="B37" t="s">
        <v>709</v>
      </c>
    </row>
    <row r="38" spans="2:2" x14ac:dyDescent="0.45">
      <c r="B38" t="s">
        <v>678</v>
      </c>
    </row>
    <row r="39" spans="2:2" x14ac:dyDescent="0.45">
      <c r="B39" t="s">
        <v>710</v>
      </c>
    </row>
    <row r="40" spans="2:2" x14ac:dyDescent="0.45">
      <c r="B40" t="s">
        <v>711</v>
      </c>
    </row>
    <row r="41" spans="2:2" x14ac:dyDescent="0.45">
      <c r="B41" t="s">
        <v>384</v>
      </c>
    </row>
    <row r="42" spans="2:2" x14ac:dyDescent="0.45">
      <c r="B42" t="s">
        <v>712</v>
      </c>
    </row>
    <row r="43" spans="2:2" x14ac:dyDescent="0.45">
      <c r="B43" t="s">
        <v>713</v>
      </c>
    </row>
    <row r="44" spans="2:2" x14ac:dyDescent="0.45">
      <c r="B44" t="s">
        <v>714</v>
      </c>
    </row>
    <row r="45" spans="2:2" x14ac:dyDescent="0.45">
      <c r="B45" t="s">
        <v>715</v>
      </c>
    </row>
    <row r="46" spans="2:2" x14ac:dyDescent="0.45">
      <c r="B46" t="s">
        <v>716</v>
      </c>
    </row>
    <row r="47" spans="2:2" x14ac:dyDescent="0.45">
      <c r="B47" t="s">
        <v>717</v>
      </c>
    </row>
    <row r="48" spans="2:2" x14ac:dyDescent="0.45">
      <c r="B48" t="s">
        <v>718</v>
      </c>
    </row>
    <row r="49" spans="2:2" x14ac:dyDescent="0.45">
      <c r="B49" t="s">
        <v>719</v>
      </c>
    </row>
    <row r="50" spans="2:2" x14ac:dyDescent="0.45">
      <c r="B50" t="s">
        <v>720</v>
      </c>
    </row>
    <row r="51" spans="2:2" x14ac:dyDescent="0.45">
      <c r="B51" t="s">
        <v>721</v>
      </c>
    </row>
    <row r="52" spans="2:2" x14ac:dyDescent="0.45">
      <c r="B52" t="s">
        <v>722</v>
      </c>
    </row>
    <row r="53" spans="2:2" x14ac:dyDescent="0.45">
      <c r="B53" t="s">
        <v>723</v>
      </c>
    </row>
    <row r="54" spans="2:2" x14ac:dyDescent="0.45">
      <c r="B54" t="s">
        <v>724</v>
      </c>
    </row>
    <row r="55" spans="2:2" x14ac:dyDescent="0.45">
      <c r="B55" t="s">
        <v>725</v>
      </c>
    </row>
    <row r="56" spans="2:2" x14ac:dyDescent="0.45">
      <c r="B56" t="s">
        <v>726</v>
      </c>
    </row>
    <row r="57" spans="2:2" x14ac:dyDescent="0.45">
      <c r="B57" t="s">
        <v>727</v>
      </c>
    </row>
    <row r="58" spans="2:2" x14ac:dyDescent="0.45">
      <c r="B58" t="s">
        <v>728</v>
      </c>
    </row>
    <row r="59" spans="2:2" x14ac:dyDescent="0.45">
      <c r="B59" t="s">
        <v>729</v>
      </c>
    </row>
    <row r="60" spans="2:2" x14ac:dyDescent="0.45">
      <c r="B60" t="s">
        <v>730</v>
      </c>
    </row>
    <row r="61" spans="2:2" x14ac:dyDescent="0.45">
      <c r="B61" t="s">
        <v>731</v>
      </c>
    </row>
    <row r="62" spans="2:2" x14ac:dyDescent="0.45">
      <c r="B62" t="s">
        <v>732</v>
      </c>
    </row>
    <row r="63" spans="2:2" x14ac:dyDescent="0.45">
      <c r="B63" t="s">
        <v>733</v>
      </c>
    </row>
    <row r="64" spans="2:2" x14ac:dyDescent="0.45">
      <c r="B64" t="s">
        <v>734</v>
      </c>
    </row>
    <row r="65" spans="2:2" x14ac:dyDescent="0.45">
      <c r="B65" t="s">
        <v>735</v>
      </c>
    </row>
    <row r="66" spans="2:2" x14ac:dyDescent="0.45">
      <c r="B66" t="s">
        <v>736</v>
      </c>
    </row>
    <row r="67" spans="2:2" x14ac:dyDescent="0.45">
      <c r="B67" t="s">
        <v>737</v>
      </c>
    </row>
    <row r="68" spans="2:2" x14ac:dyDescent="0.45">
      <c r="B68" t="s">
        <v>738</v>
      </c>
    </row>
    <row r="69" spans="2:2" x14ac:dyDescent="0.45">
      <c r="B69" t="s">
        <v>739</v>
      </c>
    </row>
    <row r="70" spans="2:2" x14ac:dyDescent="0.45">
      <c r="B70" t="s">
        <v>740</v>
      </c>
    </row>
    <row r="71" spans="2:2" x14ac:dyDescent="0.45">
      <c r="B71" t="s">
        <v>741</v>
      </c>
    </row>
    <row r="72" spans="2:2" x14ac:dyDescent="0.45">
      <c r="B72" t="s">
        <v>742</v>
      </c>
    </row>
    <row r="73" spans="2:2" x14ac:dyDescent="0.45">
      <c r="B73" t="s">
        <v>743</v>
      </c>
    </row>
    <row r="74" spans="2:2" x14ac:dyDescent="0.45">
      <c r="B74" t="s">
        <v>744</v>
      </c>
    </row>
    <row r="75" spans="2:2" x14ac:dyDescent="0.45">
      <c r="B75" t="s">
        <v>745</v>
      </c>
    </row>
    <row r="76" spans="2:2" x14ac:dyDescent="0.45">
      <c r="B76" t="s">
        <v>746</v>
      </c>
    </row>
    <row r="77" spans="2:2" x14ac:dyDescent="0.45">
      <c r="B77" t="s">
        <v>747</v>
      </c>
    </row>
    <row r="81" spans="2:2" x14ac:dyDescent="0.45">
      <c r="B81" t="s">
        <v>29</v>
      </c>
    </row>
    <row r="82" spans="2:2" x14ac:dyDescent="0.45">
      <c r="B82" t="s">
        <v>30</v>
      </c>
    </row>
    <row r="84" spans="2:2" x14ac:dyDescent="0.45">
      <c r="B84" t="s">
        <v>748</v>
      </c>
    </row>
    <row r="85" spans="2:2" x14ac:dyDescent="0.45">
      <c r="B85" t="s">
        <v>749</v>
      </c>
    </row>
    <row r="86" spans="2:2" x14ac:dyDescent="0.45">
      <c r="B86" t="s">
        <v>750</v>
      </c>
    </row>
    <row r="87" spans="2:2" x14ac:dyDescent="0.45">
      <c r="B87" t="s">
        <v>751</v>
      </c>
    </row>
    <row r="88" spans="2:2" x14ac:dyDescent="0.45">
      <c r="B88" t="s">
        <v>752</v>
      </c>
    </row>
    <row r="89" spans="2:2" x14ac:dyDescent="0.45">
      <c r="B89" t="s">
        <v>753</v>
      </c>
    </row>
    <row r="90" spans="2:2" x14ac:dyDescent="0.45">
      <c r="B90" t="s">
        <v>754</v>
      </c>
    </row>
    <row r="91" spans="2:2" x14ac:dyDescent="0.45">
      <c r="B91" t="s">
        <v>755</v>
      </c>
    </row>
    <row r="92" spans="2:2" x14ac:dyDescent="0.45">
      <c r="B92" t="s">
        <v>756</v>
      </c>
    </row>
    <row r="93" spans="2:2" x14ac:dyDescent="0.45">
      <c r="B93" t="s">
        <v>757</v>
      </c>
    </row>
    <row r="94" spans="2:2" x14ac:dyDescent="0.45">
      <c r="B94" t="s">
        <v>758</v>
      </c>
    </row>
    <row r="95" spans="2:2" x14ac:dyDescent="0.45">
      <c r="B95" t="s">
        <v>759</v>
      </c>
    </row>
    <row r="96" spans="2:2" x14ac:dyDescent="0.45">
      <c r="B96" t="s">
        <v>760</v>
      </c>
    </row>
    <row r="97" spans="2:2" x14ac:dyDescent="0.45">
      <c r="B97" t="s">
        <v>761</v>
      </c>
    </row>
    <row r="98" spans="2:2" x14ac:dyDescent="0.45">
      <c r="B98" t="s">
        <v>762</v>
      </c>
    </row>
    <row r="99" spans="2:2" x14ac:dyDescent="0.45">
      <c r="B99" t="s">
        <v>763</v>
      </c>
    </row>
    <row r="100" spans="2:2" x14ac:dyDescent="0.45">
      <c r="B100" t="s">
        <v>764</v>
      </c>
    </row>
    <row r="101" spans="2:2" x14ac:dyDescent="0.45">
      <c r="B101" t="s">
        <v>765</v>
      </c>
    </row>
    <row r="102" spans="2:2" x14ac:dyDescent="0.45">
      <c r="B102" t="s">
        <v>766</v>
      </c>
    </row>
    <row r="103" spans="2:2" x14ac:dyDescent="0.45">
      <c r="B103" t="s">
        <v>767</v>
      </c>
    </row>
    <row r="104" spans="2:2" x14ac:dyDescent="0.45">
      <c r="B104" t="s">
        <v>768</v>
      </c>
    </row>
    <row r="106" spans="2:2" x14ac:dyDescent="0.45">
      <c r="B106" t="s">
        <v>678</v>
      </c>
    </row>
    <row r="107" spans="2:2" x14ac:dyDescent="0.45">
      <c r="B107" t="s">
        <v>769</v>
      </c>
    </row>
    <row r="108" spans="2:2" x14ac:dyDescent="0.45">
      <c r="B108" t="s">
        <v>770</v>
      </c>
    </row>
    <row r="109" spans="2:2" x14ac:dyDescent="0.45">
      <c r="B109" t="s">
        <v>771</v>
      </c>
    </row>
    <row r="111" spans="2:2" x14ac:dyDescent="0.45">
      <c r="B111" t="s">
        <v>772</v>
      </c>
    </row>
    <row r="112" spans="2:2" x14ac:dyDescent="0.45">
      <c r="B112" t="s">
        <v>773</v>
      </c>
    </row>
    <row r="113" spans="2:2" x14ac:dyDescent="0.45">
      <c r="B113" t="s">
        <v>774</v>
      </c>
    </row>
    <row r="114" spans="2:2" x14ac:dyDescent="0.45">
      <c r="B114" t="s">
        <v>775</v>
      </c>
    </row>
    <row r="115" spans="2:2" x14ac:dyDescent="0.45">
      <c r="B115" t="s">
        <v>776</v>
      </c>
    </row>
    <row r="116" spans="2:2" x14ac:dyDescent="0.45">
      <c r="B116" t="s">
        <v>777</v>
      </c>
    </row>
    <row r="117" spans="2:2" x14ac:dyDescent="0.45">
      <c r="B117" t="s">
        <v>778</v>
      </c>
    </row>
    <row r="118" spans="2:2" x14ac:dyDescent="0.45">
      <c r="B118" t="s">
        <v>779</v>
      </c>
    </row>
    <row r="119" spans="2:2" x14ac:dyDescent="0.45">
      <c r="B119" t="s">
        <v>780</v>
      </c>
    </row>
    <row r="120" spans="2:2" x14ac:dyDescent="0.45">
      <c r="B120" t="s">
        <v>781</v>
      </c>
    </row>
    <row r="121" spans="2:2" x14ac:dyDescent="0.45">
      <c r="B121" t="s">
        <v>782</v>
      </c>
    </row>
    <row r="122" spans="2:2" x14ac:dyDescent="0.45">
      <c r="B122" t="s">
        <v>783</v>
      </c>
    </row>
    <row r="123" spans="2:2" x14ac:dyDescent="0.45">
      <c r="B123" t="s">
        <v>784</v>
      </c>
    </row>
    <row r="124" spans="2:2" x14ac:dyDescent="0.45">
      <c r="B124" t="s">
        <v>785</v>
      </c>
    </row>
    <row r="125" spans="2:2" x14ac:dyDescent="0.45">
      <c r="B125" t="s">
        <v>786</v>
      </c>
    </row>
    <row r="126" spans="2:2" x14ac:dyDescent="0.45">
      <c r="B126" t="s">
        <v>787</v>
      </c>
    </row>
    <row r="127" spans="2:2" x14ac:dyDescent="0.45">
      <c r="B127" t="s">
        <v>788</v>
      </c>
    </row>
    <row r="128" spans="2:2" x14ac:dyDescent="0.45">
      <c r="B128" t="s">
        <v>789</v>
      </c>
    </row>
    <row r="129" spans="2:2" x14ac:dyDescent="0.45">
      <c r="B129" t="s">
        <v>790</v>
      </c>
    </row>
    <row r="130" spans="2:2" x14ac:dyDescent="0.45">
      <c r="B130" t="s">
        <v>791</v>
      </c>
    </row>
    <row r="131" spans="2:2" x14ac:dyDescent="0.45">
      <c r="B131" t="s">
        <v>792</v>
      </c>
    </row>
    <row r="132" spans="2:2" x14ac:dyDescent="0.45">
      <c r="B132" t="s">
        <v>793</v>
      </c>
    </row>
    <row r="133" spans="2:2" x14ac:dyDescent="0.45">
      <c r="B133" t="s">
        <v>794</v>
      </c>
    </row>
    <row r="134" spans="2:2" x14ac:dyDescent="0.45">
      <c r="B134" t="s">
        <v>795</v>
      </c>
    </row>
    <row r="139" spans="2:2" x14ac:dyDescent="0.45">
      <c r="B139" t="s">
        <v>796</v>
      </c>
    </row>
    <row r="140" spans="2:2" x14ac:dyDescent="0.45">
      <c r="B140" t="s">
        <v>32</v>
      </c>
    </row>
    <row r="141" spans="2:2" x14ac:dyDescent="0.45">
      <c r="B141" t="s">
        <v>33</v>
      </c>
    </row>
    <row r="143" spans="2:2" x14ac:dyDescent="0.45">
      <c r="B143" t="s">
        <v>797</v>
      </c>
    </row>
    <row r="144" spans="2:2" x14ac:dyDescent="0.45">
      <c r="B144" t="s">
        <v>798</v>
      </c>
    </row>
    <row r="145" spans="2:2" x14ac:dyDescent="0.45">
      <c r="B145" t="s">
        <v>799</v>
      </c>
    </row>
    <row r="146" spans="2:2" x14ac:dyDescent="0.45">
      <c r="B146" t="s">
        <v>800</v>
      </c>
    </row>
    <row r="147" spans="2:2" x14ac:dyDescent="0.45">
      <c r="B147" t="s">
        <v>801</v>
      </c>
    </row>
    <row r="148" spans="2:2" x14ac:dyDescent="0.45">
      <c r="B148" t="s">
        <v>802</v>
      </c>
    </row>
    <row r="149" spans="2:2" x14ac:dyDescent="0.45">
      <c r="B149" t="s">
        <v>803</v>
      </c>
    </row>
    <row r="150" spans="2:2" x14ac:dyDescent="0.45">
      <c r="B150" t="s">
        <v>804</v>
      </c>
    </row>
    <row r="151" spans="2:2" x14ac:dyDescent="0.45">
      <c r="B151" t="s">
        <v>805</v>
      </c>
    </row>
    <row r="152" spans="2:2" x14ac:dyDescent="0.45">
      <c r="B152" t="s">
        <v>806</v>
      </c>
    </row>
    <row r="153" spans="2:2" x14ac:dyDescent="0.45">
      <c r="B153" t="s">
        <v>807</v>
      </c>
    </row>
    <row r="154" spans="2:2" x14ac:dyDescent="0.45">
      <c r="B154" t="s">
        <v>808</v>
      </c>
    </row>
    <row r="155" spans="2:2" x14ac:dyDescent="0.45">
      <c r="B155" t="s">
        <v>809</v>
      </c>
    </row>
    <row r="156" spans="2:2" x14ac:dyDescent="0.45">
      <c r="B156" t="s">
        <v>810</v>
      </c>
    </row>
    <row r="157" spans="2:2" x14ac:dyDescent="0.45">
      <c r="B157" t="s">
        <v>811</v>
      </c>
    </row>
    <row r="158" spans="2:2" x14ac:dyDescent="0.45">
      <c r="B158" t="s">
        <v>812</v>
      </c>
    </row>
    <row r="159" spans="2:2" x14ac:dyDescent="0.45">
      <c r="B159" t="s">
        <v>813</v>
      </c>
    </row>
    <row r="160" spans="2:2" x14ac:dyDescent="0.45">
      <c r="B160" t="s">
        <v>814</v>
      </c>
    </row>
    <row r="161" spans="2:2" x14ac:dyDescent="0.45">
      <c r="B161" t="s">
        <v>815</v>
      </c>
    </row>
    <row r="162" spans="2:2" x14ac:dyDescent="0.45">
      <c r="B162" t="s">
        <v>816</v>
      </c>
    </row>
    <row r="166" spans="2:2" x14ac:dyDescent="0.45">
      <c r="B166" t="s">
        <v>31</v>
      </c>
    </row>
    <row r="167" spans="2:2" x14ac:dyDescent="0.45">
      <c r="B167" t="s">
        <v>32</v>
      </c>
    </row>
    <row r="168" spans="2:2" x14ac:dyDescent="0.45">
      <c r="B168" t="s">
        <v>33</v>
      </c>
    </row>
    <row r="170" spans="2:2" x14ac:dyDescent="0.45">
      <c r="B170" t="s">
        <v>817</v>
      </c>
    </row>
    <row r="171" spans="2:2" x14ac:dyDescent="0.45">
      <c r="B171" t="s">
        <v>818</v>
      </c>
    </row>
    <row r="172" spans="2:2" x14ac:dyDescent="0.45">
      <c r="B172" t="s">
        <v>819</v>
      </c>
    </row>
    <row r="173" spans="2:2" x14ac:dyDescent="0.45">
      <c r="B173" t="s">
        <v>820</v>
      </c>
    </row>
    <row r="174" spans="2:2" x14ac:dyDescent="0.45">
      <c r="B174" t="s">
        <v>818</v>
      </c>
    </row>
    <row r="175" spans="2:2" x14ac:dyDescent="0.45">
      <c r="B175" t="s">
        <v>821</v>
      </c>
    </row>
    <row r="178" spans="2:2" x14ac:dyDescent="0.45">
      <c r="B178" t="s">
        <v>34</v>
      </c>
    </row>
    <row r="179" spans="2:2" x14ac:dyDescent="0.45">
      <c r="B179" t="s">
        <v>822</v>
      </c>
    </row>
    <row r="180" spans="2:2" x14ac:dyDescent="0.45">
      <c r="B180" t="s">
        <v>823</v>
      </c>
    </row>
    <row r="183" spans="2:2" x14ac:dyDescent="0.45">
      <c r="B183" t="s">
        <v>35</v>
      </c>
    </row>
    <row r="184" spans="2:2" x14ac:dyDescent="0.45">
      <c r="B184" t="s">
        <v>36</v>
      </c>
    </row>
    <row r="185" spans="2:2" x14ac:dyDescent="0.45">
      <c r="B185" t="s">
        <v>37</v>
      </c>
    </row>
    <row r="187" spans="2:2" x14ac:dyDescent="0.45">
      <c r="B187" t="s">
        <v>824</v>
      </c>
    </row>
    <row r="188" spans="2:2" x14ac:dyDescent="0.45">
      <c r="B188" t="s">
        <v>825</v>
      </c>
    </row>
    <row r="189" spans="2:2" x14ac:dyDescent="0.45">
      <c r="B189" t="s">
        <v>826</v>
      </c>
    </row>
    <row r="190" spans="2:2" x14ac:dyDescent="0.45">
      <c r="B190" t="s">
        <v>827</v>
      </c>
    </row>
    <row r="191" spans="2:2" x14ac:dyDescent="0.45">
      <c r="B191" t="s">
        <v>828</v>
      </c>
    </row>
    <row r="192" spans="2:2" x14ac:dyDescent="0.45">
      <c r="B192" t="s">
        <v>829</v>
      </c>
    </row>
    <row r="193" spans="2:2" x14ac:dyDescent="0.45">
      <c r="B193" t="s">
        <v>830</v>
      </c>
    </row>
    <row r="194" spans="2:2" x14ac:dyDescent="0.45">
      <c r="B194" t="s">
        <v>831</v>
      </c>
    </row>
    <row r="195" spans="2:2" x14ac:dyDescent="0.45">
      <c r="B195" t="s">
        <v>832</v>
      </c>
    </row>
    <row r="196" spans="2:2" x14ac:dyDescent="0.45">
      <c r="B196" t="s">
        <v>833</v>
      </c>
    </row>
    <row r="197" spans="2:2" x14ac:dyDescent="0.45">
      <c r="B197" t="s">
        <v>834</v>
      </c>
    </row>
    <row r="198" spans="2:2" x14ac:dyDescent="0.45">
      <c r="B198" t="s">
        <v>835</v>
      </c>
    </row>
    <row r="199" spans="2:2" x14ac:dyDescent="0.45">
      <c r="B199" t="s">
        <v>836</v>
      </c>
    </row>
    <row r="200" spans="2:2" x14ac:dyDescent="0.45">
      <c r="B200" t="s">
        <v>837</v>
      </c>
    </row>
    <row r="203" spans="2:2" x14ac:dyDescent="0.45">
      <c r="B203" t="s">
        <v>838</v>
      </c>
    </row>
    <row r="204" spans="2:2" x14ac:dyDescent="0.45">
      <c r="B204" t="s">
        <v>839</v>
      </c>
    </row>
    <row r="206" spans="2:2" x14ac:dyDescent="0.45">
      <c r="B206" t="s">
        <v>840</v>
      </c>
    </row>
    <row r="207" spans="2:2" x14ac:dyDescent="0.45">
      <c r="B207" t="s">
        <v>841</v>
      </c>
    </row>
    <row r="208" spans="2:2" x14ac:dyDescent="0.45">
      <c r="B208" t="s">
        <v>842</v>
      </c>
    </row>
    <row r="209" spans="2:2" x14ac:dyDescent="0.45">
      <c r="B209" t="s">
        <v>843</v>
      </c>
    </row>
    <row r="210" spans="2:2" x14ac:dyDescent="0.45">
      <c r="B210" t="s">
        <v>844</v>
      </c>
    </row>
    <row r="211" spans="2:2" x14ac:dyDescent="0.45">
      <c r="B211" t="s">
        <v>845</v>
      </c>
    </row>
    <row r="212" spans="2:2" x14ac:dyDescent="0.45">
      <c r="B212" t="s">
        <v>846</v>
      </c>
    </row>
    <row r="213" spans="2:2" x14ac:dyDescent="0.45">
      <c r="B213" t="s">
        <v>847</v>
      </c>
    </row>
    <row r="214" spans="2:2" x14ac:dyDescent="0.45">
      <c r="B214" t="s">
        <v>848</v>
      </c>
    </row>
    <row r="215" spans="2:2" x14ac:dyDescent="0.45">
      <c r="B215" t="s">
        <v>849</v>
      </c>
    </row>
    <row r="216" spans="2:2" x14ac:dyDescent="0.45">
      <c r="B216" t="s">
        <v>850</v>
      </c>
    </row>
    <row r="217" spans="2:2" x14ac:dyDescent="0.45">
      <c r="B217" t="s">
        <v>851</v>
      </c>
    </row>
    <row r="218" spans="2:2" x14ac:dyDescent="0.45">
      <c r="B218" t="s">
        <v>852</v>
      </c>
    </row>
    <row r="219" spans="2:2" x14ac:dyDescent="0.45">
      <c r="B219" t="s">
        <v>853</v>
      </c>
    </row>
    <row r="220" spans="2:2" x14ac:dyDescent="0.45">
      <c r="B220" t="s">
        <v>854</v>
      </c>
    </row>
    <row r="221" spans="2:2" x14ac:dyDescent="0.45">
      <c r="B221" t="s">
        <v>855</v>
      </c>
    </row>
    <row r="222" spans="2:2" x14ac:dyDescent="0.45">
      <c r="B222" t="s">
        <v>856</v>
      </c>
    </row>
    <row r="223" spans="2:2" x14ac:dyDescent="0.45">
      <c r="B223" t="s">
        <v>857</v>
      </c>
    </row>
    <row r="225" spans="2:2" x14ac:dyDescent="0.45">
      <c r="B225" t="s">
        <v>858</v>
      </c>
    </row>
    <row r="226" spans="2:2" x14ac:dyDescent="0.45">
      <c r="B226" t="s">
        <v>839</v>
      </c>
    </row>
    <row r="228" spans="2:2" x14ac:dyDescent="0.45">
      <c r="B228" t="s">
        <v>840</v>
      </c>
    </row>
    <row r="229" spans="2:2" x14ac:dyDescent="0.45">
      <c r="B229" t="s">
        <v>859</v>
      </c>
    </row>
    <row r="230" spans="2:2" x14ac:dyDescent="0.45">
      <c r="B230" t="s">
        <v>842</v>
      </c>
    </row>
    <row r="231" spans="2:2" x14ac:dyDescent="0.45">
      <c r="B231" t="s">
        <v>860</v>
      </c>
    </row>
    <row r="232" spans="2:2" x14ac:dyDescent="0.45">
      <c r="B232" t="s">
        <v>844</v>
      </c>
    </row>
    <row r="233" spans="2:2" x14ac:dyDescent="0.45">
      <c r="B233" t="s">
        <v>861</v>
      </c>
    </row>
    <row r="234" spans="2:2" x14ac:dyDescent="0.45">
      <c r="B234" t="s">
        <v>846</v>
      </c>
    </row>
    <row r="235" spans="2:2" x14ac:dyDescent="0.45">
      <c r="B235" t="s">
        <v>862</v>
      </c>
    </row>
    <row r="236" spans="2:2" x14ac:dyDescent="0.45">
      <c r="B236" t="s">
        <v>848</v>
      </c>
    </row>
    <row r="237" spans="2:2" x14ac:dyDescent="0.45">
      <c r="B237" t="s">
        <v>863</v>
      </c>
    </row>
    <row r="238" spans="2:2" x14ac:dyDescent="0.45">
      <c r="B238" t="s">
        <v>850</v>
      </c>
    </row>
    <row r="239" spans="2:2" x14ac:dyDescent="0.45">
      <c r="B239" t="s">
        <v>864</v>
      </c>
    </row>
    <row r="240" spans="2:2" x14ac:dyDescent="0.45">
      <c r="B240" t="s">
        <v>852</v>
      </c>
    </row>
    <row r="241" spans="2:2" x14ac:dyDescent="0.45">
      <c r="B241" t="s">
        <v>865</v>
      </c>
    </row>
    <row r="242" spans="2:2" x14ac:dyDescent="0.45">
      <c r="B242" t="s">
        <v>854</v>
      </c>
    </row>
    <row r="243" spans="2:2" x14ac:dyDescent="0.45">
      <c r="B243" t="s">
        <v>866</v>
      </c>
    </row>
    <row r="244" spans="2:2" x14ac:dyDescent="0.45">
      <c r="B244" t="s">
        <v>856</v>
      </c>
    </row>
    <row r="245" spans="2:2" x14ac:dyDescent="0.45">
      <c r="B245" t="s">
        <v>867</v>
      </c>
    </row>
    <row r="250" spans="2:2" x14ac:dyDescent="0.45">
      <c r="B250" t="s">
        <v>38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88D6-50CF-4B94-8CF6-BF7A1745B5A5}">
  <sheetPr>
    <tabColor rgb="FFFF0000"/>
  </sheetPr>
  <dimension ref="B2:B73"/>
  <sheetViews>
    <sheetView topLeftCell="A37" workbookViewId="0">
      <selection activeCell="K207" sqref="K207"/>
    </sheetView>
  </sheetViews>
  <sheetFormatPr defaultRowHeight="17" x14ac:dyDescent="0.45"/>
  <sheetData>
    <row r="2" spans="2:2" x14ac:dyDescent="0.45">
      <c r="B2" t="s">
        <v>868</v>
      </c>
    </row>
    <row r="4" spans="2:2" x14ac:dyDescent="0.45">
      <c r="B4" t="s">
        <v>677</v>
      </c>
    </row>
    <row r="6" spans="2:2" x14ac:dyDescent="0.45">
      <c r="B6" t="s">
        <v>869</v>
      </c>
    </row>
    <row r="7" spans="2:2" x14ac:dyDescent="0.45">
      <c r="B7" t="s">
        <v>870</v>
      </c>
    </row>
    <row r="8" spans="2:2" x14ac:dyDescent="0.45">
      <c r="B8" t="s">
        <v>871</v>
      </c>
    </row>
    <row r="9" spans="2:2" x14ac:dyDescent="0.45">
      <c r="B9" t="s">
        <v>872</v>
      </c>
    </row>
    <row r="10" spans="2:2" x14ac:dyDescent="0.45">
      <c r="B10" t="s">
        <v>873</v>
      </c>
    </row>
    <row r="11" spans="2:2" x14ac:dyDescent="0.45">
      <c r="B11" t="s">
        <v>874</v>
      </c>
    </row>
    <row r="12" spans="2:2" x14ac:dyDescent="0.45">
      <c r="B12" t="s">
        <v>875</v>
      </c>
    </row>
    <row r="13" spans="2:2" x14ac:dyDescent="0.45">
      <c r="B13" t="s">
        <v>876</v>
      </c>
    </row>
    <row r="14" spans="2:2" x14ac:dyDescent="0.45">
      <c r="B14" t="s">
        <v>877</v>
      </c>
    </row>
    <row r="15" spans="2:2" x14ac:dyDescent="0.45">
      <c r="B15" t="s">
        <v>878</v>
      </c>
    </row>
    <row r="16" spans="2:2" x14ac:dyDescent="0.45">
      <c r="B16" t="s">
        <v>879</v>
      </c>
    </row>
    <row r="17" spans="2:2" x14ac:dyDescent="0.45">
      <c r="B17" t="s">
        <v>880</v>
      </c>
    </row>
    <row r="18" spans="2:2" x14ac:dyDescent="0.45">
      <c r="B18" t="s">
        <v>881</v>
      </c>
    </row>
    <row r="19" spans="2:2" x14ac:dyDescent="0.45">
      <c r="B19" t="s">
        <v>882</v>
      </c>
    </row>
    <row r="20" spans="2:2" x14ac:dyDescent="0.45">
      <c r="B20" t="s">
        <v>883</v>
      </c>
    </row>
    <row r="21" spans="2:2" x14ac:dyDescent="0.45">
      <c r="B21" t="s">
        <v>884</v>
      </c>
    </row>
    <row r="22" spans="2:2" x14ac:dyDescent="0.45">
      <c r="B22" t="s">
        <v>885</v>
      </c>
    </row>
    <row r="23" spans="2:2" x14ac:dyDescent="0.45">
      <c r="B23" t="s">
        <v>886</v>
      </c>
    </row>
    <row r="24" spans="2:2" x14ac:dyDescent="0.45">
      <c r="B24" t="s">
        <v>887</v>
      </c>
    </row>
    <row r="25" spans="2:2" x14ac:dyDescent="0.45">
      <c r="B25" t="s">
        <v>888</v>
      </c>
    </row>
    <row r="26" spans="2:2" x14ac:dyDescent="0.45">
      <c r="B26" t="s">
        <v>889</v>
      </c>
    </row>
    <row r="27" spans="2:2" x14ac:dyDescent="0.45">
      <c r="B27" t="s">
        <v>890</v>
      </c>
    </row>
    <row r="28" spans="2:2" x14ac:dyDescent="0.45">
      <c r="B28" t="s">
        <v>891</v>
      </c>
    </row>
    <row r="29" spans="2:2" x14ac:dyDescent="0.45">
      <c r="B29" t="s">
        <v>892</v>
      </c>
    </row>
    <row r="30" spans="2:2" x14ac:dyDescent="0.45">
      <c r="B30" t="s">
        <v>893</v>
      </c>
    </row>
    <row r="31" spans="2:2" x14ac:dyDescent="0.45">
      <c r="B31" t="s">
        <v>894</v>
      </c>
    </row>
    <row r="32" spans="2:2" x14ac:dyDescent="0.45">
      <c r="B32" t="s">
        <v>895</v>
      </c>
    </row>
    <row r="33" spans="2:2" x14ac:dyDescent="0.45">
      <c r="B33" t="s">
        <v>896</v>
      </c>
    </row>
    <row r="34" spans="2:2" x14ac:dyDescent="0.45">
      <c r="B34" t="s">
        <v>897</v>
      </c>
    </row>
    <row r="35" spans="2:2" x14ac:dyDescent="0.45">
      <c r="B35" t="s">
        <v>898</v>
      </c>
    </row>
    <row r="36" spans="2:2" x14ac:dyDescent="0.45">
      <c r="B36" t="s">
        <v>899</v>
      </c>
    </row>
    <row r="37" spans="2:2" x14ac:dyDescent="0.45">
      <c r="B37" t="s">
        <v>900</v>
      </c>
    </row>
    <row r="38" spans="2:2" x14ac:dyDescent="0.45">
      <c r="B38" t="s">
        <v>901</v>
      </c>
    </row>
    <row r="39" spans="2:2" x14ac:dyDescent="0.45">
      <c r="B39" t="s">
        <v>902</v>
      </c>
    </row>
    <row r="40" spans="2:2" x14ac:dyDescent="0.45">
      <c r="B40" t="s">
        <v>903</v>
      </c>
    </row>
    <row r="41" spans="2:2" x14ac:dyDescent="0.45">
      <c r="B41" t="s">
        <v>904</v>
      </c>
    </row>
    <row r="42" spans="2:2" x14ac:dyDescent="0.45">
      <c r="B42" t="s">
        <v>905</v>
      </c>
    </row>
    <row r="43" spans="2:2" x14ac:dyDescent="0.45">
      <c r="B43" t="s">
        <v>906</v>
      </c>
    </row>
    <row r="44" spans="2:2" x14ac:dyDescent="0.45">
      <c r="B44" t="s">
        <v>907</v>
      </c>
    </row>
    <row r="45" spans="2:2" x14ac:dyDescent="0.45">
      <c r="B45" t="s">
        <v>908</v>
      </c>
    </row>
    <row r="46" spans="2:2" x14ac:dyDescent="0.45">
      <c r="B46" t="s">
        <v>909</v>
      </c>
    </row>
    <row r="47" spans="2:2" x14ac:dyDescent="0.45">
      <c r="B47" t="s">
        <v>910</v>
      </c>
    </row>
    <row r="48" spans="2:2" x14ac:dyDescent="0.45">
      <c r="B48" t="s">
        <v>911</v>
      </c>
    </row>
    <row r="49" spans="2:2" x14ac:dyDescent="0.45">
      <c r="B49" t="s">
        <v>912</v>
      </c>
    </row>
    <row r="50" spans="2:2" x14ac:dyDescent="0.45">
      <c r="B50" t="s">
        <v>913</v>
      </c>
    </row>
    <row r="51" spans="2:2" x14ac:dyDescent="0.45">
      <c r="B51" t="s">
        <v>914</v>
      </c>
    </row>
    <row r="52" spans="2:2" x14ac:dyDescent="0.45">
      <c r="B52" t="s">
        <v>915</v>
      </c>
    </row>
    <row r="53" spans="2:2" x14ac:dyDescent="0.45">
      <c r="B53" t="s">
        <v>916</v>
      </c>
    </row>
    <row r="54" spans="2:2" x14ac:dyDescent="0.45">
      <c r="B54" t="s">
        <v>678</v>
      </c>
    </row>
    <row r="55" spans="2:2" x14ac:dyDescent="0.45">
      <c r="B55" t="s">
        <v>917</v>
      </c>
    </row>
    <row r="56" spans="2:2" x14ac:dyDescent="0.45">
      <c r="B56" t="s">
        <v>918</v>
      </c>
    </row>
    <row r="57" spans="2:2" x14ac:dyDescent="0.45">
      <c r="B57" t="s">
        <v>919</v>
      </c>
    </row>
    <row r="58" spans="2:2" x14ac:dyDescent="0.45">
      <c r="B58" t="s">
        <v>920</v>
      </c>
    </row>
    <row r="59" spans="2:2" x14ac:dyDescent="0.45">
      <c r="B59" t="s">
        <v>921</v>
      </c>
    </row>
    <row r="60" spans="2:2" x14ac:dyDescent="0.45">
      <c r="B60" t="s">
        <v>922</v>
      </c>
    </row>
    <row r="61" spans="2:2" x14ac:dyDescent="0.45">
      <c r="B61" t="s">
        <v>923</v>
      </c>
    </row>
    <row r="62" spans="2:2" x14ac:dyDescent="0.45">
      <c r="B62" t="s">
        <v>924</v>
      </c>
    </row>
    <row r="63" spans="2:2" x14ac:dyDescent="0.45">
      <c r="B63" t="s">
        <v>925</v>
      </c>
    </row>
    <row r="64" spans="2:2" x14ac:dyDescent="0.45">
      <c r="B64" t="s">
        <v>926</v>
      </c>
    </row>
    <row r="65" spans="2:2" x14ac:dyDescent="0.45">
      <c r="B65" t="s">
        <v>927</v>
      </c>
    </row>
    <row r="66" spans="2:2" x14ac:dyDescent="0.45">
      <c r="B66" t="s">
        <v>928</v>
      </c>
    </row>
    <row r="67" spans="2:2" x14ac:dyDescent="0.45">
      <c r="B67" t="s">
        <v>929</v>
      </c>
    </row>
    <row r="68" spans="2:2" x14ac:dyDescent="0.45">
      <c r="B68" t="s">
        <v>930</v>
      </c>
    </row>
    <row r="69" spans="2:2" x14ac:dyDescent="0.45">
      <c r="B69" t="s">
        <v>931</v>
      </c>
    </row>
    <row r="70" spans="2:2" x14ac:dyDescent="0.45">
      <c r="B70" t="s">
        <v>932</v>
      </c>
    </row>
    <row r="73" spans="2:2" x14ac:dyDescent="0.45">
      <c r="B73" t="s">
        <v>38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F65E-E366-4787-90D5-BC0A21787562}">
  <sheetPr>
    <tabColor rgb="FFFF0000"/>
  </sheetPr>
  <dimension ref="B2:B33"/>
  <sheetViews>
    <sheetView workbookViewId="0">
      <selection activeCell="M22" sqref="M22"/>
    </sheetView>
  </sheetViews>
  <sheetFormatPr defaultRowHeight="17" x14ac:dyDescent="0.45"/>
  <sheetData>
    <row r="2" spans="2:2" x14ac:dyDescent="0.45">
      <c r="B2" t="s">
        <v>933</v>
      </c>
    </row>
    <row r="4" spans="2:2" x14ac:dyDescent="0.45">
      <c r="B4" t="s">
        <v>677</v>
      </c>
    </row>
    <row r="6" spans="2:2" x14ac:dyDescent="0.45">
      <c r="B6" t="s">
        <v>934</v>
      </c>
    </row>
    <row r="7" spans="2:2" x14ac:dyDescent="0.45">
      <c r="B7" t="s">
        <v>935</v>
      </c>
    </row>
    <row r="8" spans="2:2" x14ac:dyDescent="0.45">
      <c r="B8" t="s">
        <v>920</v>
      </c>
    </row>
    <row r="9" spans="2:2" x14ac:dyDescent="0.45">
      <c r="B9" t="s">
        <v>936</v>
      </c>
    </row>
    <row r="10" spans="2:2" x14ac:dyDescent="0.45">
      <c r="B10" t="s">
        <v>937</v>
      </c>
    </row>
    <row r="11" spans="2:2" x14ac:dyDescent="0.45">
      <c r="B11" t="s">
        <v>938</v>
      </c>
    </row>
    <row r="13" spans="2:2" x14ac:dyDescent="0.45">
      <c r="B13" t="s">
        <v>678</v>
      </c>
    </row>
    <row r="14" spans="2:2" x14ac:dyDescent="0.45">
      <c r="B14" t="s">
        <v>939</v>
      </c>
    </row>
    <row r="16" spans="2:2" x14ac:dyDescent="0.45">
      <c r="B16" t="s">
        <v>940</v>
      </c>
    </row>
    <row r="17" spans="2:2" x14ac:dyDescent="0.45">
      <c r="B17" t="s">
        <v>941</v>
      </c>
    </row>
    <row r="19" spans="2:2" x14ac:dyDescent="0.45">
      <c r="B19" t="s">
        <v>942</v>
      </c>
    </row>
    <row r="20" spans="2:2" x14ac:dyDescent="0.45">
      <c r="B20" t="s">
        <v>943</v>
      </c>
    </row>
    <row r="21" spans="2:2" x14ac:dyDescent="0.45">
      <c r="B21" t="s">
        <v>944</v>
      </c>
    </row>
    <row r="22" spans="2:2" x14ac:dyDescent="0.45">
      <c r="B22" t="s">
        <v>945</v>
      </c>
    </row>
    <row r="23" spans="2:2" x14ac:dyDescent="0.45">
      <c r="B23" t="s">
        <v>678</v>
      </c>
    </row>
    <row r="24" spans="2:2" x14ac:dyDescent="0.45">
      <c r="B24" t="s">
        <v>946</v>
      </c>
    </row>
    <row r="25" spans="2:2" x14ac:dyDescent="0.45">
      <c r="B25" t="s">
        <v>947</v>
      </c>
    </row>
    <row r="26" spans="2:2" x14ac:dyDescent="0.45">
      <c r="B26" t="s">
        <v>948</v>
      </c>
    </row>
    <row r="27" spans="2:2" x14ac:dyDescent="0.45">
      <c r="B27" t="s">
        <v>920</v>
      </c>
    </row>
    <row r="28" spans="2:2" x14ac:dyDescent="0.45">
      <c r="B28" t="s">
        <v>942</v>
      </c>
    </row>
    <row r="29" spans="2:2" x14ac:dyDescent="0.45">
      <c r="B29" t="s">
        <v>949</v>
      </c>
    </row>
    <row r="30" spans="2:2" x14ac:dyDescent="0.45">
      <c r="B30" t="s">
        <v>944</v>
      </c>
    </row>
    <row r="33" spans="2:2" x14ac:dyDescent="0.45">
      <c r="B33" t="s">
        <v>38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0B67-E7FD-4EA4-9EE1-FE5FD3B4774B}">
  <sheetPr>
    <tabColor rgb="FFFF0000"/>
  </sheetPr>
  <dimension ref="B2:B164"/>
  <sheetViews>
    <sheetView topLeftCell="A49" workbookViewId="0">
      <selection activeCell="K207" sqref="K207"/>
    </sheetView>
  </sheetViews>
  <sheetFormatPr defaultRowHeight="17" x14ac:dyDescent="0.45"/>
  <sheetData>
    <row r="2" spans="2:2" x14ac:dyDescent="0.45">
      <c r="B2" t="s">
        <v>950</v>
      </c>
    </row>
    <row r="4" spans="2:2" x14ac:dyDescent="0.45">
      <c r="B4" t="s">
        <v>677</v>
      </c>
    </row>
    <row r="5" spans="2:2" x14ac:dyDescent="0.45">
      <c r="B5" t="s">
        <v>678</v>
      </c>
    </row>
    <row r="6" spans="2:2" x14ac:dyDescent="0.45">
      <c r="B6" t="s">
        <v>951</v>
      </c>
    </row>
    <row r="7" spans="2:2" x14ac:dyDescent="0.45">
      <c r="B7" t="s">
        <v>952</v>
      </c>
    </row>
    <row r="8" spans="2:2" x14ac:dyDescent="0.45">
      <c r="B8" t="s">
        <v>953</v>
      </c>
    </row>
    <row r="9" spans="2:2" x14ac:dyDescent="0.45">
      <c r="B9" t="s">
        <v>920</v>
      </c>
    </row>
    <row r="10" spans="2:2" x14ac:dyDescent="0.45">
      <c r="B10" t="s">
        <v>954</v>
      </c>
    </row>
    <row r="11" spans="2:2" x14ac:dyDescent="0.45">
      <c r="B11" t="s">
        <v>955</v>
      </c>
    </row>
    <row r="12" spans="2:2" x14ac:dyDescent="0.45">
      <c r="B12" t="s">
        <v>956</v>
      </c>
    </row>
    <row r="13" spans="2:2" x14ac:dyDescent="0.45">
      <c r="B13" t="s">
        <v>957</v>
      </c>
    </row>
    <row r="14" spans="2:2" x14ac:dyDescent="0.45">
      <c r="B14" t="s">
        <v>958</v>
      </c>
    </row>
    <row r="15" spans="2:2" x14ac:dyDescent="0.45">
      <c r="B15" t="s">
        <v>959</v>
      </c>
    </row>
    <row r="16" spans="2:2" x14ac:dyDescent="0.45">
      <c r="B16" t="s">
        <v>960</v>
      </c>
    </row>
    <row r="17" spans="2:2" x14ac:dyDescent="0.45">
      <c r="B17" t="s">
        <v>961</v>
      </c>
    </row>
    <row r="18" spans="2:2" x14ac:dyDescent="0.45">
      <c r="B18" t="s">
        <v>962</v>
      </c>
    </row>
    <row r="19" spans="2:2" x14ac:dyDescent="0.45">
      <c r="B19" t="s">
        <v>963</v>
      </c>
    </row>
    <row r="20" spans="2:2" x14ac:dyDescent="0.45">
      <c r="B20" t="s">
        <v>964</v>
      </c>
    </row>
    <row r="21" spans="2:2" x14ac:dyDescent="0.45">
      <c r="B21" t="s">
        <v>965</v>
      </c>
    </row>
    <row r="22" spans="2:2" x14ac:dyDescent="0.45">
      <c r="B22" t="s">
        <v>966</v>
      </c>
    </row>
    <row r="23" spans="2:2" x14ac:dyDescent="0.45">
      <c r="B23" t="s">
        <v>967</v>
      </c>
    </row>
    <row r="24" spans="2:2" x14ac:dyDescent="0.45">
      <c r="B24" t="s">
        <v>678</v>
      </c>
    </row>
    <row r="25" spans="2:2" x14ac:dyDescent="0.45">
      <c r="B25" t="s">
        <v>968</v>
      </c>
    </row>
    <row r="26" spans="2:2" x14ac:dyDescent="0.45">
      <c r="B26" t="s">
        <v>969</v>
      </c>
    </row>
    <row r="28" spans="2:2" x14ac:dyDescent="0.45">
      <c r="B28" t="s">
        <v>970</v>
      </c>
    </row>
    <row r="29" spans="2:2" x14ac:dyDescent="0.45">
      <c r="B29" t="s">
        <v>971</v>
      </c>
    </row>
    <row r="30" spans="2:2" x14ac:dyDescent="0.45">
      <c r="B30" t="s">
        <v>972</v>
      </c>
    </row>
    <row r="31" spans="2:2" x14ac:dyDescent="0.45">
      <c r="B31" t="s">
        <v>973</v>
      </c>
    </row>
    <row r="32" spans="2:2" x14ac:dyDescent="0.45">
      <c r="B32" t="s">
        <v>974</v>
      </c>
    </row>
    <row r="33" spans="2:2" x14ac:dyDescent="0.45">
      <c r="B33" t="s">
        <v>975</v>
      </c>
    </row>
    <row r="34" spans="2:2" x14ac:dyDescent="0.45">
      <c r="B34" t="s">
        <v>976</v>
      </c>
    </row>
    <row r="35" spans="2:2" x14ac:dyDescent="0.45">
      <c r="B35" t="s">
        <v>977</v>
      </c>
    </row>
    <row r="36" spans="2:2" x14ac:dyDescent="0.45">
      <c r="B36" t="s">
        <v>978</v>
      </c>
    </row>
    <row r="37" spans="2:2" x14ac:dyDescent="0.45">
      <c r="B37" t="s">
        <v>979</v>
      </c>
    </row>
    <row r="38" spans="2:2" x14ac:dyDescent="0.45">
      <c r="B38" t="s">
        <v>980</v>
      </c>
    </row>
    <row r="39" spans="2:2" x14ac:dyDescent="0.45">
      <c r="B39" t="s">
        <v>981</v>
      </c>
    </row>
    <row r="40" spans="2:2" x14ac:dyDescent="0.45">
      <c r="B40" t="s">
        <v>982</v>
      </c>
    </row>
    <row r="41" spans="2:2" x14ac:dyDescent="0.45">
      <c r="B41" t="s">
        <v>983</v>
      </c>
    </row>
    <row r="45" spans="2:2" x14ac:dyDescent="0.45">
      <c r="B45" t="s">
        <v>678</v>
      </c>
    </row>
    <row r="46" spans="2:2" x14ac:dyDescent="0.45">
      <c r="B46" t="s">
        <v>984</v>
      </c>
    </row>
    <row r="47" spans="2:2" x14ac:dyDescent="0.45">
      <c r="B47" t="s">
        <v>985</v>
      </c>
    </row>
    <row r="49" spans="2:2" x14ac:dyDescent="0.45">
      <c r="B49" t="s">
        <v>986</v>
      </c>
    </row>
    <row r="50" spans="2:2" x14ac:dyDescent="0.45">
      <c r="B50" t="s">
        <v>987</v>
      </c>
    </row>
    <row r="51" spans="2:2" x14ac:dyDescent="0.45">
      <c r="B51" t="s">
        <v>988</v>
      </c>
    </row>
    <row r="52" spans="2:2" x14ac:dyDescent="0.45">
      <c r="B52" t="s">
        <v>989</v>
      </c>
    </row>
    <row r="53" spans="2:2" x14ac:dyDescent="0.45">
      <c r="B53" t="s">
        <v>990</v>
      </c>
    </row>
    <row r="54" spans="2:2" x14ac:dyDescent="0.45">
      <c r="B54" t="s">
        <v>991</v>
      </c>
    </row>
    <row r="55" spans="2:2" x14ac:dyDescent="0.45">
      <c r="B55" t="s">
        <v>992</v>
      </c>
    </row>
    <row r="56" spans="2:2" x14ac:dyDescent="0.45">
      <c r="B56" t="s">
        <v>993</v>
      </c>
    </row>
    <row r="57" spans="2:2" x14ac:dyDescent="0.45">
      <c r="B57" t="s">
        <v>994</v>
      </c>
    </row>
    <row r="58" spans="2:2" x14ac:dyDescent="0.45">
      <c r="B58" t="s">
        <v>995</v>
      </c>
    </row>
    <row r="59" spans="2:2" x14ac:dyDescent="0.45">
      <c r="B59" t="s">
        <v>996</v>
      </c>
    </row>
    <row r="60" spans="2:2" x14ac:dyDescent="0.45">
      <c r="B60" t="s">
        <v>997</v>
      </c>
    </row>
    <row r="61" spans="2:2" x14ac:dyDescent="0.45">
      <c r="B61" t="s">
        <v>998</v>
      </c>
    </row>
    <row r="62" spans="2:2" x14ac:dyDescent="0.45">
      <c r="B62" t="s">
        <v>999</v>
      </c>
    </row>
    <row r="65" spans="2:2" x14ac:dyDescent="0.45">
      <c r="B65" t="s">
        <v>1000</v>
      </c>
    </row>
    <row r="66" spans="2:2" x14ac:dyDescent="0.45">
      <c r="B66" t="s">
        <v>1001</v>
      </c>
    </row>
    <row r="68" spans="2:2" x14ac:dyDescent="0.45">
      <c r="B68" t="s">
        <v>1002</v>
      </c>
    </row>
    <row r="69" spans="2:2" x14ac:dyDescent="0.45">
      <c r="B69" t="s">
        <v>1003</v>
      </c>
    </row>
    <row r="70" spans="2:2" x14ac:dyDescent="0.45">
      <c r="B70" t="s">
        <v>987</v>
      </c>
    </row>
    <row r="71" spans="2:2" x14ac:dyDescent="0.45">
      <c r="B71" t="s">
        <v>1004</v>
      </c>
    </row>
    <row r="72" spans="2:2" x14ac:dyDescent="0.45">
      <c r="B72" t="s">
        <v>1005</v>
      </c>
    </row>
    <row r="73" spans="2:2" x14ac:dyDescent="0.45">
      <c r="B73" t="s">
        <v>989</v>
      </c>
    </row>
    <row r="74" spans="2:2" x14ac:dyDescent="0.45">
      <c r="B74" t="s">
        <v>1006</v>
      </c>
    </row>
    <row r="75" spans="2:2" x14ac:dyDescent="0.45">
      <c r="B75" t="s">
        <v>1007</v>
      </c>
    </row>
    <row r="76" spans="2:2" x14ac:dyDescent="0.45">
      <c r="B76" t="s">
        <v>991</v>
      </c>
    </row>
    <row r="77" spans="2:2" x14ac:dyDescent="0.45">
      <c r="B77" t="s">
        <v>1008</v>
      </c>
    </row>
    <row r="78" spans="2:2" x14ac:dyDescent="0.45">
      <c r="B78" t="s">
        <v>758</v>
      </c>
    </row>
    <row r="79" spans="2:2" x14ac:dyDescent="0.45">
      <c r="B79" t="s">
        <v>993</v>
      </c>
    </row>
    <row r="80" spans="2:2" x14ac:dyDescent="0.45">
      <c r="B80" t="s">
        <v>1009</v>
      </c>
    </row>
    <row r="81" spans="2:2" x14ac:dyDescent="0.45">
      <c r="B81" t="s">
        <v>1010</v>
      </c>
    </row>
    <row r="82" spans="2:2" x14ac:dyDescent="0.45">
      <c r="B82" t="s">
        <v>995</v>
      </c>
    </row>
    <row r="83" spans="2:2" x14ac:dyDescent="0.45">
      <c r="B83" t="s">
        <v>1011</v>
      </c>
    </row>
    <row r="84" spans="2:2" x14ac:dyDescent="0.45">
      <c r="B84" t="s">
        <v>1012</v>
      </c>
    </row>
    <row r="85" spans="2:2" x14ac:dyDescent="0.45">
      <c r="B85" t="s">
        <v>997</v>
      </c>
    </row>
    <row r="86" spans="2:2" x14ac:dyDescent="0.45">
      <c r="B86" t="s">
        <v>1013</v>
      </c>
    </row>
    <row r="87" spans="2:2" x14ac:dyDescent="0.45">
      <c r="B87" t="s">
        <v>1014</v>
      </c>
    </row>
    <row r="88" spans="2:2" x14ac:dyDescent="0.45">
      <c r="B88" t="s">
        <v>1015</v>
      </c>
    </row>
    <row r="91" spans="2:2" x14ac:dyDescent="0.45">
      <c r="B91" t="s">
        <v>1016</v>
      </c>
    </row>
    <row r="92" spans="2:2" x14ac:dyDescent="0.45">
      <c r="B92" t="s">
        <v>1017</v>
      </c>
    </row>
    <row r="93" spans="2:2" x14ac:dyDescent="0.45">
      <c r="B93" t="s">
        <v>1018</v>
      </c>
    </row>
    <row r="95" spans="2:2" x14ac:dyDescent="0.45">
      <c r="B95" t="s">
        <v>1019</v>
      </c>
    </row>
    <row r="96" spans="2:2" x14ac:dyDescent="0.45">
      <c r="B96" t="s">
        <v>1020</v>
      </c>
    </row>
    <row r="97" spans="2:2" x14ac:dyDescent="0.45">
      <c r="B97" t="s">
        <v>1021</v>
      </c>
    </row>
    <row r="98" spans="2:2" x14ac:dyDescent="0.45">
      <c r="B98" t="s">
        <v>1022</v>
      </c>
    </row>
    <row r="101" spans="2:2" x14ac:dyDescent="0.45">
      <c r="B101" t="s">
        <v>28</v>
      </c>
    </row>
    <row r="102" spans="2:2" x14ac:dyDescent="0.45">
      <c r="B102" t="s">
        <v>678</v>
      </c>
    </row>
    <row r="103" spans="2:2" x14ac:dyDescent="0.45">
      <c r="B103" t="s">
        <v>1023</v>
      </c>
    </row>
    <row r="104" spans="2:2" x14ac:dyDescent="0.45">
      <c r="B104" t="s">
        <v>1024</v>
      </c>
    </row>
    <row r="105" spans="2:2" x14ac:dyDescent="0.45">
      <c r="B105" t="s">
        <v>1018</v>
      </c>
    </row>
    <row r="107" spans="2:2" x14ac:dyDescent="0.45">
      <c r="B107" t="s">
        <v>1025</v>
      </c>
    </row>
    <row r="108" spans="2:2" x14ac:dyDescent="0.45">
      <c r="B108" t="s">
        <v>1026</v>
      </c>
    </row>
    <row r="109" spans="2:2" x14ac:dyDescent="0.45">
      <c r="B109" t="s">
        <v>1027</v>
      </c>
    </row>
    <row r="110" spans="2:2" x14ac:dyDescent="0.45">
      <c r="B110" t="s">
        <v>1028</v>
      </c>
    </row>
    <row r="113" spans="2:2" x14ac:dyDescent="0.45">
      <c r="B113" t="s">
        <v>678</v>
      </c>
    </row>
    <row r="114" spans="2:2" x14ac:dyDescent="0.45">
      <c r="B114" t="s">
        <v>1029</v>
      </c>
    </row>
    <row r="115" spans="2:2" x14ac:dyDescent="0.45">
      <c r="B115" t="s">
        <v>1030</v>
      </c>
    </row>
    <row r="116" spans="2:2" x14ac:dyDescent="0.45">
      <c r="B116" t="s">
        <v>1018</v>
      </c>
    </row>
    <row r="117" spans="2:2" x14ac:dyDescent="0.45">
      <c r="B117" t="s">
        <v>920</v>
      </c>
    </row>
    <row r="118" spans="2:2" x14ac:dyDescent="0.45">
      <c r="B118" t="s">
        <v>1031</v>
      </c>
    </row>
    <row r="119" spans="2:2" x14ac:dyDescent="0.45">
      <c r="B119" t="s">
        <v>1032</v>
      </c>
    </row>
    <row r="120" spans="2:2" x14ac:dyDescent="0.45">
      <c r="B120" t="s">
        <v>1033</v>
      </c>
    </row>
    <row r="121" spans="2:2" x14ac:dyDescent="0.45">
      <c r="B121" t="s">
        <v>1034</v>
      </c>
    </row>
    <row r="124" spans="2:2" x14ac:dyDescent="0.45">
      <c r="B124" t="s">
        <v>1035</v>
      </c>
    </row>
    <row r="125" spans="2:2" x14ac:dyDescent="0.45">
      <c r="B125" t="s">
        <v>1036</v>
      </c>
    </row>
    <row r="127" spans="2:2" x14ac:dyDescent="0.45">
      <c r="B127" t="s">
        <v>1037</v>
      </c>
    </row>
    <row r="128" spans="2:2" x14ac:dyDescent="0.45">
      <c r="B128" t="s">
        <v>1038</v>
      </c>
    </row>
    <row r="129" spans="2:2" x14ac:dyDescent="0.45">
      <c r="B129" t="s">
        <v>1039</v>
      </c>
    </row>
    <row r="130" spans="2:2" x14ac:dyDescent="0.45">
      <c r="B130" t="s">
        <v>1040</v>
      </c>
    </row>
    <row r="131" spans="2:2" x14ac:dyDescent="0.45">
      <c r="B131" t="s">
        <v>1041</v>
      </c>
    </row>
    <row r="132" spans="2:2" x14ac:dyDescent="0.45">
      <c r="B132" t="s">
        <v>1042</v>
      </c>
    </row>
    <row r="135" spans="2:2" x14ac:dyDescent="0.45">
      <c r="B135" t="s">
        <v>1043</v>
      </c>
    </row>
    <row r="136" spans="2:2" x14ac:dyDescent="0.45">
      <c r="B136" t="s">
        <v>1044</v>
      </c>
    </row>
    <row r="138" spans="2:2" x14ac:dyDescent="0.45">
      <c r="B138" t="s">
        <v>1045</v>
      </c>
    </row>
    <row r="139" spans="2:2" x14ac:dyDescent="0.45">
      <c r="B139" t="s">
        <v>1046</v>
      </c>
    </row>
    <row r="140" spans="2:2" x14ac:dyDescent="0.45">
      <c r="B140" t="s">
        <v>1047</v>
      </c>
    </row>
    <row r="141" spans="2:2" x14ac:dyDescent="0.45">
      <c r="B141" t="s">
        <v>1048</v>
      </c>
    </row>
    <row r="142" spans="2:2" x14ac:dyDescent="0.45">
      <c r="B142" t="s">
        <v>1049</v>
      </c>
    </row>
    <row r="143" spans="2:2" x14ac:dyDescent="0.45">
      <c r="B143" t="s">
        <v>1050</v>
      </c>
    </row>
    <row r="144" spans="2:2" x14ac:dyDescent="0.45">
      <c r="B144" t="s">
        <v>1051</v>
      </c>
    </row>
    <row r="145" spans="2:2" x14ac:dyDescent="0.45">
      <c r="B145" t="s">
        <v>1052</v>
      </c>
    </row>
    <row r="148" spans="2:2" x14ac:dyDescent="0.45">
      <c r="B148" t="s">
        <v>1053</v>
      </c>
    </row>
    <row r="151" spans="2:2" x14ac:dyDescent="0.45">
      <c r="B151" t="s">
        <v>1054</v>
      </c>
    </row>
    <row r="152" spans="2:2" x14ac:dyDescent="0.45">
      <c r="B152" t="s">
        <v>1055</v>
      </c>
    </row>
    <row r="155" spans="2:2" x14ac:dyDescent="0.45">
      <c r="B155" t="s">
        <v>1056</v>
      </c>
    </row>
    <row r="156" spans="2:2" x14ac:dyDescent="0.45">
      <c r="B156" t="s">
        <v>1057</v>
      </c>
    </row>
    <row r="158" spans="2:2" x14ac:dyDescent="0.45">
      <c r="B158" t="s">
        <v>1058</v>
      </c>
    </row>
    <row r="159" spans="2:2" x14ac:dyDescent="0.45">
      <c r="B159" t="s">
        <v>1059</v>
      </c>
    </row>
    <row r="160" spans="2:2" x14ac:dyDescent="0.45">
      <c r="B160" t="s">
        <v>1060</v>
      </c>
    </row>
    <row r="161" spans="2:2" x14ac:dyDescent="0.45">
      <c r="B161" t="s">
        <v>1061</v>
      </c>
    </row>
    <row r="164" spans="2:2" x14ac:dyDescent="0.45">
      <c r="B164" t="s">
        <v>38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2173-E741-4A9C-84DA-C12025CA7DE3}">
  <sheetPr>
    <tabColor rgb="FFFF0000"/>
  </sheetPr>
  <dimension ref="B2:B175"/>
  <sheetViews>
    <sheetView topLeftCell="A106" workbookViewId="0">
      <selection activeCell="B114" sqref="B114"/>
    </sheetView>
  </sheetViews>
  <sheetFormatPr defaultRowHeight="17" x14ac:dyDescent="0.45"/>
  <sheetData>
    <row r="2" spans="2:2" x14ac:dyDescent="0.45">
      <c r="B2" t="s">
        <v>1062</v>
      </c>
    </row>
    <row r="4" spans="2:2" x14ac:dyDescent="0.45">
      <c r="B4" t="s">
        <v>677</v>
      </c>
    </row>
    <row r="5" spans="2:2" x14ac:dyDescent="0.45">
      <c r="B5" t="s">
        <v>678</v>
      </c>
    </row>
    <row r="6" spans="2:2" x14ac:dyDescent="0.45">
      <c r="B6" t="s">
        <v>1063</v>
      </c>
    </row>
    <row r="7" spans="2:2" x14ac:dyDescent="0.45">
      <c r="B7" t="s">
        <v>1064</v>
      </c>
    </row>
    <row r="8" spans="2:2" x14ac:dyDescent="0.45">
      <c r="B8" t="s">
        <v>1065</v>
      </c>
    </row>
    <row r="11" spans="2:2" x14ac:dyDescent="0.45">
      <c r="B11" t="s">
        <v>1066</v>
      </c>
    </row>
    <row r="12" spans="2:2" x14ac:dyDescent="0.45">
      <c r="B12" t="s">
        <v>1067</v>
      </c>
    </row>
    <row r="14" spans="2:2" x14ac:dyDescent="0.45">
      <c r="B14" t="s">
        <v>1068</v>
      </c>
    </row>
    <row r="17" spans="2:2" x14ac:dyDescent="0.45">
      <c r="B17" t="s">
        <v>1069</v>
      </c>
    </row>
    <row r="18" spans="2:2" x14ac:dyDescent="0.45">
      <c r="B18" t="s">
        <v>1070</v>
      </c>
    </row>
    <row r="20" spans="2:2" x14ac:dyDescent="0.45">
      <c r="B20" t="s">
        <v>1071</v>
      </c>
    </row>
    <row r="21" spans="2:2" x14ac:dyDescent="0.45">
      <c r="B21" t="s">
        <v>1072</v>
      </c>
    </row>
    <row r="22" spans="2:2" x14ac:dyDescent="0.45">
      <c r="B22" t="s">
        <v>1073</v>
      </c>
    </row>
    <row r="23" spans="2:2" x14ac:dyDescent="0.45">
      <c r="B23" t="s">
        <v>1074</v>
      </c>
    </row>
    <row r="24" spans="2:2" x14ac:dyDescent="0.45">
      <c r="B24" t="s">
        <v>1075</v>
      </c>
    </row>
    <row r="25" spans="2:2" x14ac:dyDescent="0.45">
      <c r="B25" t="s">
        <v>1076</v>
      </c>
    </row>
    <row r="26" spans="2:2" x14ac:dyDescent="0.45">
      <c r="B26" t="s">
        <v>1077</v>
      </c>
    </row>
    <row r="27" spans="2:2" x14ac:dyDescent="0.45">
      <c r="B27" t="s">
        <v>1078</v>
      </c>
    </row>
    <row r="28" spans="2:2" x14ac:dyDescent="0.45">
      <c r="B28" t="s">
        <v>1079</v>
      </c>
    </row>
    <row r="29" spans="2:2" x14ac:dyDescent="0.45">
      <c r="B29" t="s">
        <v>1080</v>
      </c>
    </row>
    <row r="30" spans="2:2" x14ac:dyDescent="0.45">
      <c r="B30" t="s">
        <v>1081</v>
      </c>
    </row>
    <row r="31" spans="2:2" x14ac:dyDescent="0.45">
      <c r="B31" t="s">
        <v>1082</v>
      </c>
    </row>
    <row r="32" spans="2:2" x14ac:dyDescent="0.45">
      <c r="B32" t="s">
        <v>1083</v>
      </c>
    </row>
    <row r="33" spans="2:2" x14ac:dyDescent="0.45">
      <c r="B33" t="s">
        <v>1084</v>
      </c>
    </row>
    <row r="34" spans="2:2" x14ac:dyDescent="0.45">
      <c r="B34" t="s">
        <v>1085</v>
      </c>
    </row>
    <row r="35" spans="2:2" x14ac:dyDescent="0.45">
      <c r="B35" t="s">
        <v>1086</v>
      </c>
    </row>
    <row r="36" spans="2:2" x14ac:dyDescent="0.45">
      <c r="B36" t="s">
        <v>1087</v>
      </c>
    </row>
    <row r="37" spans="2:2" x14ac:dyDescent="0.45">
      <c r="B37" t="s">
        <v>1088</v>
      </c>
    </row>
    <row r="38" spans="2:2" x14ac:dyDescent="0.45">
      <c r="B38" t="s">
        <v>1089</v>
      </c>
    </row>
    <row r="39" spans="2:2" x14ac:dyDescent="0.45">
      <c r="B39" t="s">
        <v>1090</v>
      </c>
    </row>
    <row r="40" spans="2:2" x14ac:dyDescent="0.45">
      <c r="B40" t="s">
        <v>1091</v>
      </c>
    </row>
    <row r="41" spans="2:2" x14ac:dyDescent="0.45">
      <c r="B41" t="s">
        <v>1092</v>
      </c>
    </row>
    <row r="42" spans="2:2" x14ac:dyDescent="0.45">
      <c r="B42" t="s">
        <v>1093</v>
      </c>
    </row>
    <row r="43" spans="2:2" x14ac:dyDescent="0.45">
      <c r="B43" t="s">
        <v>1094</v>
      </c>
    </row>
    <row r="44" spans="2:2" x14ac:dyDescent="0.45">
      <c r="B44" t="s">
        <v>1095</v>
      </c>
    </row>
    <row r="45" spans="2:2" x14ac:dyDescent="0.45">
      <c r="B45" t="s">
        <v>1096</v>
      </c>
    </row>
    <row r="48" spans="2:2" x14ac:dyDescent="0.45">
      <c r="B48" t="s">
        <v>1097</v>
      </c>
    </row>
    <row r="49" spans="2:2" x14ac:dyDescent="0.45">
      <c r="B49" t="s">
        <v>1098</v>
      </c>
    </row>
    <row r="51" spans="2:2" x14ac:dyDescent="0.45">
      <c r="B51" t="s">
        <v>1068</v>
      </c>
    </row>
    <row r="54" spans="2:2" x14ac:dyDescent="0.45">
      <c r="B54" t="s">
        <v>1099</v>
      </c>
    </row>
    <row r="55" spans="2:2" x14ac:dyDescent="0.45">
      <c r="B55" t="s">
        <v>1070</v>
      </c>
    </row>
    <row r="57" spans="2:2" x14ac:dyDescent="0.45">
      <c r="B57" t="s">
        <v>1100</v>
      </c>
    </row>
    <row r="58" spans="2:2" x14ac:dyDescent="0.45">
      <c r="B58" t="s">
        <v>1101</v>
      </c>
    </row>
    <row r="59" spans="2:2" x14ac:dyDescent="0.45">
      <c r="B59" t="s">
        <v>1102</v>
      </c>
    </row>
    <row r="60" spans="2:2" x14ac:dyDescent="0.45">
      <c r="B60" t="s">
        <v>1103</v>
      </c>
    </row>
    <row r="61" spans="2:2" x14ac:dyDescent="0.45">
      <c r="B61" t="s">
        <v>1104</v>
      </c>
    </row>
    <row r="62" spans="2:2" x14ac:dyDescent="0.45">
      <c r="B62" t="s">
        <v>1105</v>
      </c>
    </row>
    <row r="63" spans="2:2" x14ac:dyDescent="0.45">
      <c r="B63" t="s">
        <v>1077</v>
      </c>
    </row>
    <row r="64" spans="2:2" x14ac:dyDescent="0.45">
      <c r="B64" t="s">
        <v>1106</v>
      </c>
    </row>
    <row r="65" spans="2:2" x14ac:dyDescent="0.45">
      <c r="B65" t="s">
        <v>1107</v>
      </c>
    </row>
    <row r="66" spans="2:2" x14ac:dyDescent="0.45">
      <c r="B66" t="s">
        <v>1108</v>
      </c>
    </row>
    <row r="67" spans="2:2" x14ac:dyDescent="0.45">
      <c r="B67" t="s">
        <v>1109</v>
      </c>
    </row>
    <row r="68" spans="2:2" x14ac:dyDescent="0.45">
      <c r="B68" t="s">
        <v>1110</v>
      </c>
    </row>
    <row r="69" spans="2:2" x14ac:dyDescent="0.45">
      <c r="B69" t="s">
        <v>1111</v>
      </c>
    </row>
    <row r="70" spans="2:2" x14ac:dyDescent="0.45">
      <c r="B70" t="s">
        <v>1112</v>
      </c>
    </row>
    <row r="71" spans="2:2" x14ac:dyDescent="0.45">
      <c r="B71" t="s">
        <v>1113</v>
      </c>
    </row>
    <row r="72" spans="2:2" x14ac:dyDescent="0.45">
      <c r="B72" t="s">
        <v>1114</v>
      </c>
    </row>
    <row r="73" spans="2:2" x14ac:dyDescent="0.45">
      <c r="B73" t="s">
        <v>1115</v>
      </c>
    </row>
    <row r="74" spans="2:2" x14ac:dyDescent="0.45">
      <c r="B74" t="s">
        <v>1116</v>
      </c>
    </row>
    <row r="75" spans="2:2" x14ac:dyDescent="0.45">
      <c r="B75" t="s">
        <v>1117</v>
      </c>
    </row>
    <row r="76" spans="2:2" x14ac:dyDescent="0.45">
      <c r="B76" t="s">
        <v>1118</v>
      </c>
    </row>
    <row r="77" spans="2:2" x14ac:dyDescent="0.45">
      <c r="B77" t="s">
        <v>1119</v>
      </c>
    </row>
    <row r="78" spans="2:2" x14ac:dyDescent="0.45">
      <c r="B78" t="s">
        <v>1120</v>
      </c>
    </row>
    <row r="79" spans="2:2" x14ac:dyDescent="0.45">
      <c r="B79" t="s">
        <v>1121</v>
      </c>
    </row>
    <row r="80" spans="2:2" x14ac:dyDescent="0.45">
      <c r="B80" t="s">
        <v>1122</v>
      </c>
    </row>
    <row r="81" spans="2:2" x14ac:dyDescent="0.45">
      <c r="B81" t="s">
        <v>1123</v>
      </c>
    </row>
    <row r="82" spans="2:2" x14ac:dyDescent="0.45">
      <c r="B82" t="s">
        <v>1124</v>
      </c>
    </row>
    <row r="85" spans="2:2" x14ac:dyDescent="0.45">
      <c r="B85" t="s">
        <v>1125</v>
      </c>
    </row>
    <row r="86" spans="2:2" x14ac:dyDescent="0.45">
      <c r="B86" t="s">
        <v>1126</v>
      </c>
    </row>
    <row r="88" spans="2:2" x14ac:dyDescent="0.45">
      <c r="B88" t="s">
        <v>1127</v>
      </c>
    </row>
    <row r="89" spans="2:2" x14ac:dyDescent="0.45">
      <c r="B89" t="s">
        <v>1128</v>
      </c>
    </row>
    <row r="90" spans="2:2" x14ac:dyDescent="0.45">
      <c r="B90" t="s">
        <v>1129</v>
      </c>
    </row>
    <row r="91" spans="2:2" x14ac:dyDescent="0.45">
      <c r="B91" t="s">
        <v>1130</v>
      </c>
    </row>
    <row r="92" spans="2:2" x14ac:dyDescent="0.45">
      <c r="B92" t="s">
        <v>1131</v>
      </c>
    </row>
    <row r="93" spans="2:2" x14ac:dyDescent="0.45">
      <c r="B93" t="s">
        <v>1132</v>
      </c>
    </row>
    <row r="94" spans="2:2" x14ac:dyDescent="0.45">
      <c r="B94" t="s">
        <v>1133</v>
      </c>
    </row>
    <row r="95" spans="2:2" x14ac:dyDescent="0.45">
      <c r="B95" t="s">
        <v>1134</v>
      </c>
    </row>
    <row r="96" spans="2:2" x14ac:dyDescent="0.45">
      <c r="B96" t="s">
        <v>1135</v>
      </c>
    </row>
    <row r="97" spans="2:2" x14ac:dyDescent="0.45">
      <c r="B97" t="s">
        <v>1136</v>
      </c>
    </row>
    <row r="98" spans="2:2" x14ac:dyDescent="0.45">
      <c r="B98" t="s">
        <v>1137</v>
      </c>
    </row>
    <row r="99" spans="2:2" x14ac:dyDescent="0.45">
      <c r="B99" t="s">
        <v>1138</v>
      </c>
    </row>
    <row r="100" spans="2:2" x14ac:dyDescent="0.45">
      <c r="B100" t="s">
        <v>1139</v>
      </c>
    </row>
    <row r="101" spans="2:2" x14ac:dyDescent="0.45">
      <c r="B101" t="s">
        <v>1140</v>
      </c>
    </row>
    <row r="102" spans="2:2" x14ac:dyDescent="0.45">
      <c r="B102" t="s">
        <v>1141</v>
      </c>
    </row>
    <row r="103" spans="2:2" x14ac:dyDescent="0.45">
      <c r="B103" t="s">
        <v>1142</v>
      </c>
    </row>
    <row r="104" spans="2:2" x14ac:dyDescent="0.45">
      <c r="B104" t="s">
        <v>1143</v>
      </c>
    </row>
    <row r="105" spans="2:2" x14ac:dyDescent="0.45">
      <c r="B105" t="s">
        <v>1144</v>
      </c>
    </row>
    <row r="106" spans="2:2" x14ac:dyDescent="0.45">
      <c r="B106" t="s">
        <v>1145</v>
      </c>
    </row>
    <row r="107" spans="2:2" x14ac:dyDescent="0.45">
      <c r="B107" t="s">
        <v>1146</v>
      </c>
    </row>
    <row r="108" spans="2:2" x14ac:dyDescent="0.45">
      <c r="B108" t="s">
        <v>1147</v>
      </c>
    </row>
    <row r="111" spans="2:2" x14ac:dyDescent="0.45">
      <c r="B111" t="s">
        <v>1148</v>
      </c>
    </row>
    <row r="112" spans="2:2" x14ac:dyDescent="0.45">
      <c r="B112" t="s">
        <v>1149</v>
      </c>
    </row>
    <row r="114" spans="2:2" x14ac:dyDescent="0.45">
      <c r="B114" t="s">
        <v>1150</v>
      </c>
    </row>
    <row r="115" spans="2:2" x14ac:dyDescent="0.45">
      <c r="B115" t="s">
        <v>1151</v>
      </c>
    </row>
    <row r="116" spans="2:2" x14ac:dyDescent="0.45">
      <c r="B116" t="s">
        <v>1152</v>
      </c>
    </row>
    <row r="117" spans="2:2" x14ac:dyDescent="0.45">
      <c r="B117" t="s">
        <v>1153</v>
      </c>
    </row>
    <row r="118" spans="2:2" x14ac:dyDescent="0.45">
      <c r="B118" t="s">
        <v>1154</v>
      </c>
    </row>
    <row r="119" spans="2:2" x14ac:dyDescent="0.45">
      <c r="B119" t="s">
        <v>1155</v>
      </c>
    </row>
    <row r="120" spans="2:2" x14ac:dyDescent="0.45">
      <c r="B120" t="s">
        <v>1156</v>
      </c>
    </row>
    <row r="121" spans="2:2" x14ac:dyDescent="0.45">
      <c r="B121" t="s">
        <v>1157</v>
      </c>
    </row>
    <row r="124" spans="2:2" x14ac:dyDescent="0.45">
      <c r="B124" t="s">
        <v>1158</v>
      </c>
    </row>
    <row r="125" spans="2:2" x14ac:dyDescent="0.45">
      <c r="B125" t="s">
        <v>1159</v>
      </c>
    </row>
    <row r="126" spans="2:2" x14ac:dyDescent="0.45">
      <c r="B126" t="s">
        <v>1160</v>
      </c>
    </row>
    <row r="127" spans="2:2" x14ac:dyDescent="0.45">
      <c r="B127" t="s">
        <v>1161</v>
      </c>
    </row>
    <row r="128" spans="2:2" x14ac:dyDescent="0.45">
      <c r="B128" t="s">
        <v>1162</v>
      </c>
    </row>
    <row r="129" spans="2:2" x14ac:dyDescent="0.45">
      <c r="B129" t="s">
        <v>1163</v>
      </c>
    </row>
    <row r="130" spans="2:2" x14ac:dyDescent="0.45">
      <c r="B130" t="s">
        <v>1164</v>
      </c>
    </row>
    <row r="131" spans="2:2" x14ac:dyDescent="0.45">
      <c r="B131" t="s">
        <v>1165</v>
      </c>
    </row>
    <row r="132" spans="2:2" x14ac:dyDescent="0.45">
      <c r="B132" t="s">
        <v>1166</v>
      </c>
    </row>
    <row r="133" spans="2:2" x14ac:dyDescent="0.45">
      <c r="B133" t="s">
        <v>1167</v>
      </c>
    </row>
    <row r="134" spans="2:2" x14ac:dyDescent="0.45">
      <c r="B134" t="s">
        <v>1168</v>
      </c>
    </row>
    <row r="137" spans="2:2" x14ac:dyDescent="0.45">
      <c r="B137" t="s">
        <v>1169</v>
      </c>
    </row>
    <row r="138" spans="2:2" x14ac:dyDescent="0.45">
      <c r="B138" t="s">
        <v>1170</v>
      </c>
    </row>
    <row r="140" spans="2:2" x14ac:dyDescent="0.45">
      <c r="B140" t="s">
        <v>1171</v>
      </c>
    </row>
    <row r="141" spans="2:2" x14ac:dyDescent="0.45">
      <c r="B141" t="s">
        <v>1172</v>
      </c>
    </row>
    <row r="142" spans="2:2" x14ac:dyDescent="0.45">
      <c r="B142" t="s">
        <v>1173</v>
      </c>
    </row>
    <row r="143" spans="2:2" x14ac:dyDescent="0.45">
      <c r="B143" t="s">
        <v>1174</v>
      </c>
    </row>
    <row r="144" spans="2:2" x14ac:dyDescent="0.45">
      <c r="B144" t="s">
        <v>1175</v>
      </c>
    </row>
    <row r="145" spans="2:2" x14ac:dyDescent="0.45">
      <c r="B145" t="s">
        <v>1176</v>
      </c>
    </row>
    <row r="146" spans="2:2" x14ac:dyDescent="0.45">
      <c r="B146" t="s">
        <v>1177</v>
      </c>
    </row>
    <row r="147" spans="2:2" x14ac:dyDescent="0.45">
      <c r="B147" t="s">
        <v>1178</v>
      </c>
    </row>
    <row r="148" spans="2:2" x14ac:dyDescent="0.45">
      <c r="B148" t="s">
        <v>1179</v>
      </c>
    </row>
    <row r="149" spans="2:2" x14ac:dyDescent="0.45">
      <c r="B149" t="s">
        <v>1180</v>
      </c>
    </row>
    <row r="150" spans="2:2" x14ac:dyDescent="0.45">
      <c r="B150" t="s">
        <v>1181</v>
      </c>
    </row>
    <row r="151" spans="2:2" x14ac:dyDescent="0.45">
      <c r="B151" t="s">
        <v>1182</v>
      </c>
    </row>
    <row r="152" spans="2:2" x14ac:dyDescent="0.45">
      <c r="B152" t="s">
        <v>1183</v>
      </c>
    </row>
    <row r="153" spans="2:2" x14ac:dyDescent="0.45">
      <c r="B153" t="s">
        <v>1184</v>
      </c>
    </row>
    <row r="154" spans="2:2" x14ac:dyDescent="0.45">
      <c r="B154" t="s">
        <v>1185</v>
      </c>
    </row>
    <row r="155" spans="2:2" x14ac:dyDescent="0.45">
      <c r="B155" t="s">
        <v>1186</v>
      </c>
    </row>
    <row r="158" spans="2:2" x14ac:dyDescent="0.45">
      <c r="B158" t="s">
        <v>1187</v>
      </c>
    </row>
    <row r="159" spans="2:2" x14ac:dyDescent="0.45">
      <c r="B159" t="s">
        <v>1188</v>
      </c>
    </row>
    <row r="161" spans="2:2" x14ac:dyDescent="0.45">
      <c r="B161" t="s">
        <v>1189</v>
      </c>
    </row>
    <row r="162" spans="2:2" x14ac:dyDescent="0.45">
      <c r="B162" t="s">
        <v>1190</v>
      </c>
    </row>
    <row r="163" spans="2:2" x14ac:dyDescent="0.45">
      <c r="B163" t="s">
        <v>1191</v>
      </c>
    </row>
    <row r="164" spans="2:2" x14ac:dyDescent="0.45">
      <c r="B164" t="s">
        <v>1192</v>
      </c>
    </row>
    <row r="165" spans="2:2" x14ac:dyDescent="0.45">
      <c r="B165" t="s">
        <v>1193</v>
      </c>
    </row>
    <row r="166" spans="2:2" x14ac:dyDescent="0.45">
      <c r="B166" t="s">
        <v>1194</v>
      </c>
    </row>
    <row r="167" spans="2:2" x14ac:dyDescent="0.45">
      <c r="B167" t="s">
        <v>1195</v>
      </c>
    </row>
    <row r="168" spans="2:2" x14ac:dyDescent="0.45">
      <c r="B168" t="s">
        <v>1196</v>
      </c>
    </row>
    <row r="175" spans="2:2" x14ac:dyDescent="0.45">
      <c r="B175" t="s">
        <v>38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7916-DF13-4927-9F58-063AF1EFC2AA}">
  <sheetPr>
    <tabColor theme="4" tint="0.39997558519241921"/>
  </sheetPr>
  <dimension ref="B2:S35"/>
  <sheetViews>
    <sheetView workbookViewId="0">
      <selection activeCell="S21" sqref="S21"/>
    </sheetView>
  </sheetViews>
  <sheetFormatPr defaultRowHeight="17" x14ac:dyDescent="0.45"/>
  <sheetData>
    <row r="2" spans="2:19" x14ac:dyDescent="0.45">
      <c r="B2" t="s">
        <v>2251</v>
      </c>
      <c r="F2" t="s">
        <v>2262</v>
      </c>
      <c r="K2" t="s">
        <v>2286</v>
      </c>
      <c r="O2" t="s">
        <v>2295</v>
      </c>
      <c r="S2" t="s">
        <v>2307</v>
      </c>
    </row>
    <row r="4" spans="2:19" x14ac:dyDescent="0.45">
      <c r="B4" t="s">
        <v>2252</v>
      </c>
      <c r="F4" t="s">
        <v>2263</v>
      </c>
      <c r="K4" t="s">
        <v>2252</v>
      </c>
      <c r="O4" t="s">
        <v>2252</v>
      </c>
      <c r="S4" t="s">
        <v>2308</v>
      </c>
    </row>
    <row r="5" spans="2:19" x14ac:dyDescent="0.45">
      <c r="B5" t="s">
        <v>2253</v>
      </c>
      <c r="F5" t="s">
        <v>2264</v>
      </c>
      <c r="K5" t="s">
        <v>2287</v>
      </c>
      <c r="O5" t="s">
        <v>2296</v>
      </c>
      <c r="S5" t="s">
        <v>2310</v>
      </c>
    </row>
    <row r="6" spans="2:19" x14ac:dyDescent="0.45">
      <c r="B6" t="s">
        <v>2254</v>
      </c>
      <c r="F6" t="s">
        <v>2265</v>
      </c>
      <c r="K6" t="s">
        <v>2288</v>
      </c>
      <c r="O6" t="s">
        <v>2297</v>
      </c>
      <c r="S6" t="s">
        <v>2309</v>
      </c>
    </row>
    <row r="7" spans="2:19" x14ac:dyDescent="0.45">
      <c r="B7" t="s">
        <v>2255</v>
      </c>
      <c r="F7" t="s">
        <v>2253</v>
      </c>
      <c r="K7" t="s">
        <v>2289</v>
      </c>
      <c r="O7" t="s">
        <v>2298</v>
      </c>
      <c r="S7" t="s">
        <v>2311</v>
      </c>
    </row>
    <row r="8" spans="2:19" x14ac:dyDescent="0.45">
      <c r="B8">
        <v>5</v>
      </c>
      <c r="F8" t="s">
        <v>2265</v>
      </c>
      <c r="O8" t="s">
        <v>2299</v>
      </c>
      <c r="S8" t="s">
        <v>2314</v>
      </c>
    </row>
    <row r="9" spans="2:19" x14ac:dyDescent="0.45">
      <c r="B9" t="s">
        <v>2256</v>
      </c>
      <c r="F9" t="s">
        <v>2266</v>
      </c>
      <c r="K9" t="s">
        <v>2254</v>
      </c>
      <c r="O9" t="s">
        <v>2300</v>
      </c>
      <c r="S9" t="s">
        <v>2315</v>
      </c>
    </row>
    <row r="10" spans="2:19" x14ac:dyDescent="0.45">
      <c r="B10" t="s">
        <v>2257</v>
      </c>
      <c r="F10" t="s">
        <v>2267</v>
      </c>
      <c r="K10" t="s">
        <v>2290</v>
      </c>
    </row>
    <row r="11" spans="2:19" x14ac:dyDescent="0.45">
      <c r="B11">
        <v>6</v>
      </c>
      <c r="F11" t="s">
        <v>2268</v>
      </c>
      <c r="K11" t="s">
        <v>2291</v>
      </c>
      <c r="O11" t="s">
        <v>2254</v>
      </c>
      <c r="S11" t="s">
        <v>2312</v>
      </c>
    </row>
    <row r="12" spans="2:19" x14ac:dyDescent="0.45">
      <c r="B12" t="s">
        <v>2258</v>
      </c>
      <c r="F12" t="s">
        <v>2265</v>
      </c>
      <c r="K12" t="s">
        <v>2292</v>
      </c>
      <c r="O12" t="s">
        <v>2301</v>
      </c>
      <c r="S12" t="s">
        <v>2313</v>
      </c>
    </row>
    <row r="13" spans="2:19" x14ac:dyDescent="0.45">
      <c r="B13">
        <v>7</v>
      </c>
      <c r="F13" t="s">
        <v>2269</v>
      </c>
      <c r="K13">
        <v>7</v>
      </c>
      <c r="O13" t="s">
        <v>2291</v>
      </c>
    </row>
    <row r="14" spans="2:19" x14ac:dyDescent="0.45">
      <c r="B14" t="s">
        <v>2259</v>
      </c>
      <c r="F14" t="s">
        <v>2265</v>
      </c>
      <c r="K14" t="s">
        <v>2293</v>
      </c>
      <c r="O14" t="s">
        <v>2302</v>
      </c>
      <c r="S14" t="s">
        <v>2317</v>
      </c>
    </row>
    <row r="15" spans="2:19" x14ac:dyDescent="0.45">
      <c r="B15">
        <v>8</v>
      </c>
      <c r="F15" t="s">
        <v>2270</v>
      </c>
      <c r="K15">
        <v>8</v>
      </c>
      <c r="O15" t="s">
        <v>2303</v>
      </c>
      <c r="S15" t="s">
        <v>2321</v>
      </c>
    </row>
    <row r="16" spans="2:19" x14ac:dyDescent="0.45">
      <c r="B16" t="s">
        <v>2260</v>
      </c>
      <c r="F16" t="s">
        <v>2271</v>
      </c>
      <c r="K16" t="s">
        <v>2294</v>
      </c>
      <c r="O16">
        <v>7</v>
      </c>
      <c r="S16" t="s">
        <v>2322</v>
      </c>
    </row>
    <row r="17" spans="2:19" x14ac:dyDescent="0.45">
      <c r="B17" t="s">
        <v>2261</v>
      </c>
      <c r="F17" t="s">
        <v>2272</v>
      </c>
      <c r="O17" t="s">
        <v>2304</v>
      </c>
      <c r="S17" t="s">
        <v>2318</v>
      </c>
    </row>
    <row r="18" spans="2:19" x14ac:dyDescent="0.45">
      <c r="F18" t="s">
        <v>2273</v>
      </c>
      <c r="O18">
        <v>8</v>
      </c>
      <c r="S18" t="s">
        <v>2316</v>
      </c>
    </row>
    <row r="19" spans="2:19" x14ac:dyDescent="0.45">
      <c r="F19" t="s">
        <v>2274</v>
      </c>
      <c r="O19" t="s">
        <v>2305</v>
      </c>
    </row>
    <row r="20" spans="2:19" x14ac:dyDescent="0.45">
      <c r="F20" t="s">
        <v>2275</v>
      </c>
      <c r="O20" t="s">
        <v>2306</v>
      </c>
      <c r="S20" t="s">
        <v>2319</v>
      </c>
    </row>
    <row r="21" spans="2:19" x14ac:dyDescent="0.45">
      <c r="F21" t="s">
        <v>2276</v>
      </c>
      <c r="S21" t="s">
        <v>2320</v>
      </c>
    </row>
    <row r="22" spans="2:19" x14ac:dyDescent="0.45">
      <c r="F22" t="s">
        <v>2277</v>
      </c>
    </row>
    <row r="23" spans="2:19" x14ac:dyDescent="0.45">
      <c r="S23" t="s">
        <v>2323</v>
      </c>
    </row>
    <row r="24" spans="2:19" x14ac:dyDescent="0.45">
      <c r="F24">
        <v>7</v>
      </c>
      <c r="S24" t="s">
        <v>2324</v>
      </c>
    </row>
    <row r="25" spans="2:19" x14ac:dyDescent="0.45">
      <c r="F25" t="s">
        <v>2278</v>
      </c>
    </row>
    <row r="26" spans="2:19" x14ac:dyDescent="0.45">
      <c r="F26" t="s">
        <v>2279</v>
      </c>
    </row>
    <row r="27" spans="2:19" x14ac:dyDescent="0.45">
      <c r="F27" t="s">
        <v>2280</v>
      </c>
    </row>
    <row r="28" spans="2:19" x14ac:dyDescent="0.45">
      <c r="F28" t="s">
        <v>2260</v>
      </c>
    </row>
    <row r="30" spans="2:19" x14ac:dyDescent="0.45">
      <c r="F30">
        <v>8</v>
      </c>
    </row>
    <row r="31" spans="2:19" x14ac:dyDescent="0.45">
      <c r="F31" t="s">
        <v>2281</v>
      </c>
    </row>
    <row r="32" spans="2:19" x14ac:dyDescent="0.45">
      <c r="F32" t="s">
        <v>2282</v>
      </c>
    </row>
    <row r="33" spans="6:6" x14ac:dyDescent="0.45">
      <c r="F33" t="s">
        <v>2283</v>
      </c>
    </row>
    <row r="34" spans="6:6" x14ac:dyDescent="0.45">
      <c r="F34" t="s">
        <v>2284</v>
      </c>
    </row>
    <row r="35" spans="6:6" x14ac:dyDescent="0.45">
      <c r="F35" t="s">
        <v>2285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6023-BE8B-443B-93ED-096BBE4845F0}">
  <sheetPr>
    <tabColor rgb="FF00B050"/>
  </sheetPr>
  <dimension ref="E8:P30"/>
  <sheetViews>
    <sheetView tabSelected="1" workbookViewId="0">
      <selection activeCell="N36" sqref="N36"/>
    </sheetView>
  </sheetViews>
  <sheetFormatPr defaultRowHeight="17" x14ac:dyDescent="0.45"/>
  <sheetData>
    <row r="8" spans="5:16" x14ac:dyDescent="0.45">
      <c r="E8" t="s">
        <v>2369</v>
      </c>
      <c r="P8" t="s">
        <v>984</v>
      </c>
    </row>
    <row r="9" spans="5:16" x14ac:dyDescent="0.45">
      <c r="E9" t="s">
        <v>2370</v>
      </c>
      <c r="P9" t="s">
        <v>985</v>
      </c>
    </row>
    <row r="10" spans="5:16" x14ac:dyDescent="0.45">
      <c r="E10" t="s">
        <v>2371</v>
      </c>
      <c r="P10" t="s">
        <v>2371</v>
      </c>
    </row>
    <row r="11" spans="5:16" x14ac:dyDescent="0.45">
      <c r="E11" t="s">
        <v>2372</v>
      </c>
      <c r="P11" t="s">
        <v>2392</v>
      </c>
    </row>
    <row r="12" spans="5:16" x14ac:dyDescent="0.45">
      <c r="E12" t="s">
        <v>2373</v>
      </c>
      <c r="P12" t="s">
        <v>2373</v>
      </c>
    </row>
    <row r="13" spans="5:16" x14ac:dyDescent="0.45">
      <c r="E13" t="s">
        <v>2374</v>
      </c>
      <c r="P13" t="s">
        <v>2374</v>
      </c>
    </row>
    <row r="14" spans="5:16" x14ac:dyDescent="0.45">
      <c r="E14" t="s">
        <v>2375</v>
      </c>
      <c r="P14" t="s">
        <v>2393</v>
      </c>
    </row>
    <row r="15" spans="5:16" x14ac:dyDescent="0.45">
      <c r="E15" t="s">
        <v>2376</v>
      </c>
      <c r="P15" t="s">
        <v>2376</v>
      </c>
    </row>
    <row r="16" spans="5:16" x14ac:dyDescent="0.45">
      <c r="E16" t="s">
        <v>2377</v>
      </c>
      <c r="P16" t="s">
        <v>2377</v>
      </c>
    </row>
    <row r="17" spans="5:16" x14ac:dyDescent="0.45">
      <c r="E17" t="s">
        <v>2378</v>
      </c>
      <c r="P17" t="s">
        <v>2394</v>
      </c>
    </row>
    <row r="18" spans="5:16" x14ac:dyDescent="0.45">
      <c r="E18" t="s">
        <v>2379</v>
      </c>
      <c r="P18" t="s">
        <v>2379</v>
      </c>
    </row>
    <row r="19" spans="5:16" x14ac:dyDescent="0.45">
      <c r="E19" t="s">
        <v>2380</v>
      </c>
      <c r="P19" t="s">
        <v>2380</v>
      </c>
    </row>
    <row r="20" spans="5:16" x14ac:dyDescent="0.45">
      <c r="E20" t="s">
        <v>2381</v>
      </c>
      <c r="P20" t="s">
        <v>2395</v>
      </c>
    </row>
    <row r="21" spans="5:16" x14ac:dyDescent="0.45">
      <c r="E21" t="s">
        <v>2382</v>
      </c>
      <c r="P21" t="s">
        <v>2382</v>
      </c>
    </row>
    <row r="22" spans="5:16" x14ac:dyDescent="0.45">
      <c r="E22" t="s">
        <v>2383</v>
      </c>
      <c r="P22" t="s">
        <v>2383</v>
      </c>
    </row>
    <row r="23" spans="5:16" x14ac:dyDescent="0.45">
      <c r="E23" t="s">
        <v>2384</v>
      </c>
      <c r="P23" t="s">
        <v>2396</v>
      </c>
    </row>
    <row r="24" spans="5:16" x14ac:dyDescent="0.45">
      <c r="E24" t="s">
        <v>2385</v>
      </c>
      <c r="P24" t="s">
        <v>2385</v>
      </c>
    </row>
    <row r="25" spans="5:16" x14ac:dyDescent="0.45">
      <c r="E25" t="s">
        <v>2386</v>
      </c>
      <c r="P25" t="s">
        <v>2386</v>
      </c>
    </row>
    <row r="26" spans="5:16" x14ac:dyDescent="0.45">
      <c r="E26" t="s">
        <v>2387</v>
      </c>
      <c r="P26" t="s">
        <v>2397</v>
      </c>
    </row>
    <row r="27" spans="5:16" x14ac:dyDescent="0.45">
      <c r="E27" t="s">
        <v>2388</v>
      </c>
      <c r="P27" t="s">
        <v>2388</v>
      </c>
    </row>
    <row r="28" spans="5:16" x14ac:dyDescent="0.45">
      <c r="E28" t="s">
        <v>2389</v>
      </c>
      <c r="P28" t="s">
        <v>2389</v>
      </c>
    </row>
    <row r="29" spans="5:16" x14ac:dyDescent="0.45">
      <c r="E29" t="s">
        <v>2390</v>
      </c>
      <c r="P29" t="s">
        <v>2398</v>
      </c>
    </row>
    <row r="30" spans="5:16" x14ac:dyDescent="0.45">
      <c r="E30" t="s">
        <v>2391</v>
      </c>
      <c r="P30" t="s">
        <v>2391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075B-7FD3-4142-AECF-2C2A552195EB}">
  <sheetPr>
    <tabColor rgb="FF7030A0"/>
  </sheetPr>
  <dimension ref="C4:C65"/>
  <sheetViews>
    <sheetView topLeftCell="A10" workbookViewId="0">
      <selection activeCell="M49" sqref="M48:N49"/>
    </sheetView>
  </sheetViews>
  <sheetFormatPr defaultRowHeight="17" x14ac:dyDescent="0.45"/>
  <sheetData>
    <row r="4" spans="3:3" x14ac:dyDescent="0.45">
      <c r="C4" t="s">
        <v>1909</v>
      </c>
    </row>
    <row r="6" spans="3:3" x14ac:dyDescent="0.45">
      <c r="C6" s="47" t="s">
        <v>1866</v>
      </c>
    </row>
    <row r="7" spans="3:3" x14ac:dyDescent="0.45">
      <c r="C7" t="s">
        <v>1913</v>
      </c>
    </row>
    <row r="8" spans="3:3" x14ac:dyDescent="0.45">
      <c r="C8" t="s">
        <v>1867</v>
      </c>
    </row>
    <row r="9" spans="3:3" x14ac:dyDescent="0.45">
      <c r="C9" t="s">
        <v>1868</v>
      </c>
    </row>
    <row r="10" spans="3:3" x14ac:dyDescent="0.45">
      <c r="C10" t="s">
        <v>1869</v>
      </c>
    </row>
    <row r="11" spans="3:3" x14ac:dyDescent="0.45">
      <c r="C11" t="s">
        <v>1870</v>
      </c>
    </row>
    <row r="12" spans="3:3" x14ac:dyDescent="0.45">
      <c r="C12" t="s">
        <v>1871</v>
      </c>
    </row>
    <row r="13" spans="3:3" x14ac:dyDescent="0.45">
      <c r="C13" t="s">
        <v>1872</v>
      </c>
    </row>
    <row r="14" spans="3:3" x14ac:dyDescent="0.45">
      <c r="C14" t="s">
        <v>1873</v>
      </c>
    </row>
    <row r="15" spans="3:3" x14ac:dyDescent="0.45">
      <c r="C15" t="s">
        <v>1874</v>
      </c>
    </row>
    <row r="17" spans="3:3" x14ac:dyDescent="0.45">
      <c r="C17" s="48" t="s">
        <v>1875</v>
      </c>
    </row>
    <row r="18" spans="3:3" x14ac:dyDescent="0.45">
      <c r="C18" t="s">
        <v>1912</v>
      </c>
    </row>
    <row r="19" spans="3:3" x14ac:dyDescent="0.45">
      <c r="C19" t="s">
        <v>1876</v>
      </c>
    </row>
    <row r="20" spans="3:3" x14ac:dyDescent="0.45">
      <c r="C20" t="s">
        <v>1877</v>
      </c>
    </row>
    <row r="21" spans="3:3" x14ac:dyDescent="0.45">
      <c r="C21" t="s">
        <v>1878</v>
      </c>
    </row>
    <row r="22" spans="3:3" x14ac:dyDescent="0.45">
      <c r="C22" t="s">
        <v>1879</v>
      </c>
    </row>
    <row r="23" spans="3:3" x14ac:dyDescent="0.45">
      <c r="C23" t="s">
        <v>1880</v>
      </c>
    </row>
    <row r="24" spans="3:3" x14ac:dyDescent="0.45">
      <c r="C24" t="s">
        <v>1881</v>
      </c>
    </row>
    <row r="25" spans="3:3" x14ac:dyDescent="0.45">
      <c r="C25" t="s">
        <v>1882</v>
      </c>
    </row>
    <row r="26" spans="3:3" x14ac:dyDescent="0.45">
      <c r="C26" t="s">
        <v>1883</v>
      </c>
    </row>
    <row r="28" spans="3:3" x14ac:dyDescent="0.45">
      <c r="C28" s="49" t="s">
        <v>1884</v>
      </c>
    </row>
    <row r="29" spans="3:3" x14ac:dyDescent="0.45">
      <c r="C29" t="s">
        <v>1910</v>
      </c>
    </row>
    <row r="30" spans="3:3" x14ac:dyDescent="0.45">
      <c r="C30" t="s">
        <v>1885</v>
      </c>
    </row>
    <row r="31" spans="3:3" x14ac:dyDescent="0.45">
      <c r="C31" t="s">
        <v>1886</v>
      </c>
    </row>
    <row r="32" spans="3:3" x14ac:dyDescent="0.45">
      <c r="C32" t="s">
        <v>1887</v>
      </c>
    </row>
    <row r="33" spans="3:3" x14ac:dyDescent="0.45">
      <c r="C33" t="s">
        <v>1888</v>
      </c>
    </row>
    <row r="34" spans="3:3" x14ac:dyDescent="0.45">
      <c r="C34" t="s">
        <v>1889</v>
      </c>
    </row>
    <row r="35" spans="3:3" x14ac:dyDescent="0.45">
      <c r="C35" t="s">
        <v>1890</v>
      </c>
    </row>
    <row r="36" spans="3:3" x14ac:dyDescent="0.45">
      <c r="C36" t="s">
        <v>2325</v>
      </c>
    </row>
    <row r="37" spans="3:3" x14ac:dyDescent="0.45">
      <c r="C37" t="s">
        <v>1891</v>
      </c>
    </row>
    <row r="39" spans="3:3" x14ac:dyDescent="0.45">
      <c r="C39" s="50" t="s">
        <v>1892</v>
      </c>
    </row>
    <row r="40" spans="3:3" x14ac:dyDescent="0.45">
      <c r="C40" t="s">
        <v>1911</v>
      </c>
    </row>
    <row r="41" spans="3:3" x14ac:dyDescent="0.45">
      <c r="C41" t="s">
        <v>1893</v>
      </c>
    </row>
    <row r="43" spans="3:3" x14ac:dyDescent="0.45">
      <c r="C43" t="s">
        <v>1894</v>
      </c>
    </row>
    <row r="44" spans="3:3" x14ac:dyDescent="0.45">
      <c r="C44" t="s">
        <v>1895</v>
      </c>
    </row>
    <row r="45" spans="3:3" x14ac:dyDescent="0.45">
      <c r="C45" t="s">
        <v>1896</v>
      </c>
    </row>
    <row r="46" spans="3:3" x14ac:dyDescent="0.45">
      <c r="C46" t="s">
        <v>1897</v>
      </c>
    </row>
    <row r="47" spans="3:3" x14ac:dyDescent="0.45">
      <c r="C47" t="s">
        <v>1898</v>
      </c>
    </row>
    <row r="48" spans="3:3" x14ac:dyDescent="0.45">
      <c r="C48" t="s">
        <v>1899</v>
      </c>
    </row>
    <row r="49" spans="3:3" x14ac:dyDescent="0.45">
      <c r="C49" t="s">
        <v>1891</v>
      </c>
    </row>
    <row r="51" spans="3:3" x14ac:dyDescent="0.45">
      <c r="C51" s="51" t="s">
        <v>1900</v>
      </c>
    </row>
    <row r="52" spans="3:3" x14ac:dyDescent="0.45">
      <c r="C52" t="s">
        <v>1914</v>
      </c>
    </row>
    <row r="53" spans="3:3" x14ac:dyDescent="0.45">
      <c r="C53" t="s">
        <v>1915</v>
      </c>
    </row>
    <row r="54" spans="3:3" x14ac:dyDescent="0.45">
      <c r="C54" t="s">
        <v>1901</v>
      </c>
    </row>
    <row r="55" spans="3:3" x14ac:dyDescent="0.45">
      <c r="C55" t="s">
        <v>1902</v>
      </c>
    </row>
    <row r="56" spans="3:3" x14ac:dyDescent="0.45">
      <c r="C56" t="s">
        <v>1903</v>
      </c>
    </row>
    <row r="57" spans="3:3" x14ac:dyDescent="0.45">
      <c r="C57" t="s">
        <v>1904</v>
      </c>
    </row>
    <row r="58" spans="3:3" x14ac:dyDescent="0.45">
      <c r="C58" t="s">
        <v>1905</v>
      </c>
    </row>
    <row r="59" spans="3:3" x14ac:dyDescent="0.45">
      <c r="C59" t="s">
        <v>1906</v>
      </c>
    </row>
    <row r="60" spans="3:3" x14ac:dyDescent="0.45">
      <c r="C60" t="s">
        <v>1907</v>
      </c>
    </row>
    <row r="61" spans="3:3" x14ac:dyDescent="0.45">
      <c r="C61" t="s">
        <v>1891</v>
      </c>
    </row>
    <row r="65" spans="3:3" x14ac:dyDescent="0.45">
      <c r="C65" t="s">
        <v>1908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03A1-27D2-4B70-A1D9-A4B15B0A3BFD}">
  <sheetPr>
    <tabColor rgb="FF7030A0"/>
  </sheetPr>
  <dimension ref="F19:I25"/>
  <sheetViews>
    <sheetView workbookViewId="0">
      <selection activeCell="J46" sqref="J46"/>
    </sheetView>
  </sheetViews>
  <sheetFormatPr defaultRowHeight="17" x14ac:dyDescent="0.45"/>
  <cols>
    <col min="2" max="2" width="13.5" bestFit="1" customWidth="1"/>
    <col min="5" max="5" width="49.08203125" bestFit="1" customWidth="1"/>
    <col min="6" max="6" width="12.6640625" bestFit="1" customWidth="1"/>
    <col min="7" max="7" width="8.5" bestFit="1" customWidth="1"/>
    <col min="8" max="8" width="4" bestFit="1" customWidth="1"/>
    <col min="9" max="9" width="46.4140625" bestFit="1" customWidth="1"/>
    <col min="10" max="10" width="8.6640625" customWidth="1"/>
  </cols>
  <sheetData>
    <row r="19" spans="6:9" x14ac:dyDescent="0.45">
      <c r="F19" s="15" t="s">
        <v>1197</v>
      </c>
      <c r="G19" s="16" t="s">
        <v>1198</v>
      </c>
      <c r="H19" s="16" t="s">
        <v>1199</v>
      </c>
      <c r="I19" s="16" t="s">
        <v>1200</v>
      </c>
    </row>
    <row r="20" spans="6:9" x14ac:dyDescent="0.45">
      <c r="F20" s="45" t="s">
        <v>1201</v>
      </c>
      <c r="G20" s="45" t="s">
        <v>1202</v>
      </c>
      <c r="H20" s="45" t="s">
        <v>1203</v>
      </c>
      <c r="I20" s="45" t="s">
        <v>1204</v>
      </c>
    </row>
    <row r="21" spans="6:9" x14ac:dyDescent="0.45">
      <c r="F21" s="45" t="s">
        <v>1205</v>
      </c>
      <c r="G21" s="45" t="s">
        <v>1202</v>
      </c>
      <c r="H21" s="45" t="s">
        <v>1206</v>
      </c>
      <c r="I21" s="45" t="s">
        <v>1207</v>
      </c>
    </row>
    <row r="22" spans="6:9" x14ac:dyDescent="0.45">
      <c r="F22" s="45" t="s">
        <v>1208</v>
      </c>
      <c r="G22" s="45" t="s">
        <v>1202</v>
      </c>
      <c r="H22" s="45" t="s">
        <v>1199</v>
      </c>
      <c r="I22" s="45" t="s">
        <v>1209</v>
      </c>
    </row>
    <row r="23" spans="6:9" x14ac:dyDescent="0.45">
      <c r="F23" s="46" t="s">
        <v>1210</v>
      </c>
      <c r="G23" s="46" t="s">
        <v>1211</v>
      </c>
      <c r="H23" s="46" t="s">
        <v>1203</v>
      </c>
      <c r="I23" s="46" t="s">
        <v>1212</v>
      </c>
    </row>
    <row r="24" spans="6:9" x14ac:dyDescent="0.45">
      <c r="F24" s="46" t="s">
        <v>1213</v>
      </c>
      <c r="G24" s="46" t="s">
        <v>1211</v>
      </c>
      <c r="H24" s="46" t="s">
        <v>1206</v>
      </c>
      <c r="I24" s="46" t="s">
        <v>1214</v>
      </c>
    </row>
    <row r="25" spans="6:9" x14ac:dyDescent="0.45">
      <c r="F25" s="46" t="s">
        <v>1215</v>
      </c>
      <c r="G25" s="46" t="s">
        <v>1211</v>
      </c>
      <c r="H25" s="46" t="s">
        <v>1199</v>
      </c>
      <c r="I25" s="46" t="s">
        <v>1216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56FB-0BD1-4204-83D2-7E9DB00D2FAE}">
  <sheetPr>
    <tabColor rgb="FF7030A0"/>
  </sheetPr>
  <dimension ref="B3:E43"/>
  <sheetViews>
    <sheetView topLeftCell="A16" zoomScaleNormal="100" zoomScaleSheetLayoutView="75" workbookViewId="0">
      <selection activeCell="J57" sqref="J57"/>
    </sheetView>
  </sheetViews>
  <sheetFormatPr defaultColWidth="8.58203125" defaultRowHeight="17" x14ac:dyDescent="0.45"/>
  <cols>
    <col min="1" max="3" width="8.58203125" style="3"/>
    <col min="4" max="4" width="16" style="3" bestFit="1" customWidth="1"/>
    <col min="5" max="5" width="48.75" style="3" bestFit="1" customWidth="1"/>
    <col min="6" max="16384" width="8.58203125" style="3"/>
  </cols>
  <sheetData>
    <row r="3" spans="2:5" x14ac:dyDescent="0.45">
      <c r="B3" s="4" t="s">
        <v>1219</v>
      </c>
      <c r="C3" s="4">
        <v>0</v>
      </c>
      <c r="D3" s="4" t="s">
        <v>1269</v>
      </c>
      <c r="E3" s="4" t="s">
        <v>1249</v>
      </c>
    </row>
    <row r="4" spans="2:5" x14ac:dyDescent="0.45">
      <c r="B4" s="4" t="s">
        <v>1219</v>
      </c>
      <c r="C4" s="4">
        <v>0</v>
      </c>
      <c r="D4" s="4" t="s">
        <v>1268</v>
      </c>
      <c r="E4" s="4" t="s">
        <v>1249</v>
      </c>
    </row>
    <row r="5" spans="2:5" x14ac:dyDescent="0.45">
      <c r="B5" s="4" t="s">
        <v>1219</v>
      </c>
      <c r="C5" s="4">
        <v>0</v>
      </c>
      <c r="D5" s="4" t="s">
        <v>1267</v>
      </c>
      <c r="E5" s="4" t="s">
        <v>1249</v>
      </c>
    </row>
    <row r="6" spans="2:5" x14ac:dyDescent="0.45">
      <c r="B6" s="4" t="s">
        <v>1219</v>
      </c>
      <c r="C6" s="4">
        <v>0</v>
      </c>
      <c r="D6" s="4" t="s">
        <v>1266</v>
      </c>
      <c r="E6" s="4" t="s">
        <v>1249</v>
      </c>
    </row>
    <row r="7" spans="2:5" x14ac:dyDescent="0.45">
      <c r="B7" s="4" t="s">
        <v>1219</v>
      </c>
      <c r="C7" s="4">
        <v>0</v>
      </c>
      <c r="D7" s="4" t="s">
        <v>1265</v>
      </c>
      <c r="E7" s="4" t="s">
        <v>1249</v>
      </c>
    </row>
    <row r="8" spans="2:5" x14ac:dyDescent="0.45">
      <c r="B8" s="4" t="s">
        <v>1219</v>
      </c>
      <c r="C8" s="4">
        <v>0</v>
      </c>
      <c r="D8" s="4" t="s">
        <v>1264</v>
      </c>
      <c r="E8" s="4" t="s">
        <v>1249</v>
      </c>
    </row>
    <row r="9" spans="2:5" x14ac:dyDescent="0.45">
      <c r="B9" s="4" t="s">
        <v>1219</v>
      </c>
      <c r="C9" s="4">
        <v>0</v>
      </c>
      <c r="D9" s="4" t="s">
        <v>1263</v>
      </c>
      <c r="E9" s="4" t="s">
        <v>1249</v>
      </c>
    </row>
    <row r="10" spans="2:5" x14ac:dyDescent="0.45">
      <c r="B10" s="4" t="s">
        <v>1219</v>
      </c>
      <c r="C10" s="4">
        <v>0</v>
      </c>
      <c r="D10" s="4" t="s">
        <v>1262</v>
      </c>
      <c r="E10" s="4" t="s">
        <v>1249</v>
      </c>
    </row>
    <row r="11" spans="2:5" x14ac:dyDescent="0.45">
      <c r="B11" s="4" t="s">
        <v>1219</v>
      </c>
      <c r="C11" s="4">
        <v>0</v>
      </c>
      <c r="D11" s="4" t="s">
        <v>1261</v>
      </c>
      <c r="E11" s="4" t="s">
        <v>1249</v>
      </c>
    </row>
    <row r="12" spans="2:5" x14ac:dyDescent="0.45">
      <c r="B12" s="4" t="s">
        <v>1219</v>
      </c>
      <c r="C12" s="4">
        <v>0</v>
      </c>
      <c r="D12" s="4" t="s">
        <v>1260</v>
      </c>
      <c r="E12" s="4" t="s">
        <v>1249</v>
      </c>
    </row>
    <row r="13" spans="2:5" x14ac:dyDescent="0.45">
      <c r="B13" s="4" t="s">
        <v>1219</v>
      </c>
      <c r="C13" s="4">
        <v>0</v>
      </c>
      <c r="D13" s="4" t="s">
        <v>1259</v>
      </c>
      <c r="E13" s="4" t="s">
        <v>1249</v>
      </c>
    </row>
    <row r="14" spans="2:5" x14ac:dyDescent="0.45">
      <c r="B14" s="4" t="s">
        <v>1219</v>
      </c>
      <c r="C14" s="4">
        <v>0</v>
      </c>
      <c r="D14" s="4" t="s">
        <v>1258</v>
      </c>
      <c r="E14" s="4" t="s">
        <v>1249</v>
      </c>
    </row>
    <row r="15" spans="2:5" x14ac:dyDescent="0.45">
      <c r="B15" s="4" t="s">
        <v>1219</v>
      </c>
      <c r="C15" s="4">
        <v>0</v>
      </c>
      <c r="D15" s="4" t="s">
        <v>1257</v>
      </c>
      <c r="E15" s="4" t="s">
        <v>1249</v>
      </c>
    </row>
    <row r="16" spans="2:5" x14ac:dyDescent="0.45">
      <c r="B16" s="4" t="s">
        <v>1219</v>
      </c>
      <c r="C16" s="4">
        <v>0</v>
      </c>
      <c r="D16" s="4" t="s">
        <v>1256</v>
      </c>
      <c r="E16" s="4" t="s">
        <v>1249</v>
      </c>
    </row>
    <row r="17" spans="2:5" x14ac:dyDescent="0.45">
      <c r="B17" s="4" t="s">
        <v>1219</v>
      </c>
      <c r="C17" s="4">
        <v>0</v>
      </c>
      <c r="D17" s="4" t="s">
        <v>1255</v>
      </c>
      <c r="E17" s="4" t="s">
        <v>1249</v>
      </c>
    </row>
    <row r="18" spans="2:5" x14ac:dyDescent="0.45">
      <c r="B18" s="4" t="s">
        <v>1219</v>
      </c>
      <c r="C18" s="4">
        <v>0</v>
      </c>
      <c r="D18" s="4" t="s">
        <v>1254</v>
      </c>
      <c r="E18" s="4" t="s">
        <v>1249</v>
      </c>
    </row>
    <row r="19" spans="2:5" x14ac:dyDescent="0.45">
      <c r="B19" s="4" t="s">
        <v>1219</v>
      </c>
      <c r="C19" s="4">
        <v>0</v>
      </c>
      <c r="D19" s="4" t="s">
        <v>1253</v>
      </c>
      <c r="E19" s="4" t="s">
        <v>1249</v>
      </c>
    </row>
    <row r="20" spans="2:5" x14ac:dyDescent="0.45">
      <c r="B20" s="4" t="s">
        <v>1219</v>
      </c>
      <c r="C20" s="4">
        <v>0</v>
      </c>
      <c r="D20" s="4" t="s">
        <v>1252</v>
      </c>
      <c r="E20" s="4" t="s">
        <v>1249</v>
      </c>
    </row>
    <row r="21" spans="2:5" x14ac:dyDescent="0.45">
      <c r="B21" s="4" t="s">
        <v>1219</v>
      </c>
      <c r="C21" s="4">
        <v>0</v>
      </c>
      <c r="D21" s="4" t="s">
        <v>1251</v>
      </c>
      <c r="E21" s="4" t="s">
        <v>1249</v>
      </c>
    </row>
    <row r="22" spans="2:5" x14ac:dyDescent="0.45">
      <c r="B22" s="4" t="s">
        <v>1219</v>
      </c>
      <c r="C22" s="4">
        <v>0</v>
      </c>
      <c r="D22" s="4" t="s">
        <v>1250</v>
      </c>
      <c r="E22" s="4" t="s">
        <v>1249</v>
      </c>
    </row>
    <row r="23" spans="2:5" x14ac:dyDescent="0.45">
      <c r="B23" s="4" t="s">
        <v>1219</v>
      </c>
      <c r="C23" s="4">
        <v>0</v>
      </c>
      <c r="D23" s="4" t="s">
        <v>1233</v>
      </c>
      <c r="E23" s="4" t="s">
        <v>1249</v>
      </c>
    </row>
    <row r="24" spans="2:5" x14ac:dyDescent="0.45">
      <c r="B24" s="5" t="s">
        <v>1219</v>
      </c>
      <c r="C24" s="5">
        <v>0</v>
      </c>
      <c r="D24" s="5" t="s">
        <v>1248</v>
      </c>
      <c r="E24" s="5" t="s">
        <v>1247</v>
      </c>
    </row>
    <row r="25" spans="2:5" x14ac:dyDescent="0.45">
      <c r="B25" s="4" t="s">
        <v>1219</v>
      </c>
      <c r="C25" s="4">
        <v>0</v>
      </c>
      <c r="D25" s="4" t="s">
        <v>1246</v>
      </c>
      <c r="E25" s="4" t="s">
        <v>1245</v>
      </c>
    </row>
    <row r="26" spans="2:5" x14ac:dyDescent="0.45">
      <c r="B26" s="4" t="s">
        <v>1219</v>
      </c>
      <c r="C26" s="4">
        <v>0</v>
      </c>
      <c r="D26" s="4" t="s">
        <v>1244</v>
      </c>
      <c r="E26" s="4" t="s">
        <v>1243</v>
      </c>
    </row>
    <row r="27" spans="2:5" x14ac:dyDescent="0.45">
      <c r="B27" s="4" t="s">
        <v>1219</v>
      </c>
      <c r="C27" s="4">
        <v>0</v>
      </c>
      <c r="D27" s="4" t="s">
        <v>1240</v>
      </c>
      <c r="E27" s="4" t="s">
        <v>1242</v>
      </c>
    </row>
    <row r="28" spans="2:5" x14ac:dyDescent="0.45">
      <c r="B28" s="4" t="s">
        <v>1219</v>
      </c>
      <c r="C28" s="4">
        <v>0</v>
      </c>
      <c r="D28" s="4" t="s">
        <v>1240</v>
      </c>
      <c r="E28" s="4" t="s">
        <v>1241</v>
      </c>
    </row>
    <row r="29" spans="2:5" x14ac:dyDescent="0.45">
      <c r="B29" s="4" t="s">
        <v>1219</v>
      </c>
      <c r="C29" s="4">
        <v>0</v>
      </c>
      <c r="D29" s="4" t="s">
        <v>1240</v>
      </c>
      <c r="E29" s="4" t="s">
        <v>1239</v>
      </c>
    </row>
    <row r="30" spans="2:5" x14ac:dyDescent="0.45">
      <c r="B30" s="4" t="s">
        <v>1219</v>
      </c>
      <c r="C30" s="4">
        <v>0</v>
      </c>
      <c r="D30" s="4" t="s">
        <v>1237</v>
      </c>
      <c r="E30" s="4" t="s">
        <v>1238</v>
      </c>
    </row>
    <row r="31" spans="2:5" x14ac:dyDescent="0.45">
      <c r="B31" s="4" t="s">
        <v>1219</v>
      </c>
      <c r="C31" s="4">
        <v>0</v>
      </c>
      <c r="D31" s="4" t="s">
        <v>1237</v>
      </c>
      <c r="E31" s="4" t="s">
        <v>1236</v>
      </c>
    </row>
    <row r="32" spans="2:5" x14ac:dyDescent="0.45">
      <c r="B32" s="4" t="s">
        <v>1219</v>
      </c>
      <c r="C32" s="4">
        <v>0</v>
      </c>
      <c r="D32" s="4" t="s">
        <v>1235</v>
      </c>
      <c r="E32" s="4" t="s">
        <v>1234</v>
      </c>
    </row>
    <row r="33" spans="2:5" x14ac:dyDescent="0.45">
      <c r="B33" s="4" t="s">
        <v>1219</v>
      </c>
      <c r="C33" s="4">
        <v>0</v>
      </c>
      <c r="D33" s="4" t="s">
        <v>1233</v>
      </c>
      <c r="E33" s="4" t="s">
        <v>1232</v>
      </c>
    </row>
    <row r="34" spans="2:5" x14ac:dyDescent="0.45">
      <c r="B34" s="4" t="s">
        <v>1219</v>
      </c>
      <c r="C34" s="4">
        <v>0</v>
      </c>
      <c r="D34" s="4" t="s">
        <v>1225</v>
      </c>
      <c r="E34" s="4" t="s">
        <v>1231</v>
      </c>
    </row>
    <row r="35" spans="2:5" x14ac:dyDescent="0.45">
      <c r="B35" s="4" t="s">
        <v>1219</v>
      </c>
      <c r="C35" s="4">
        <v>0</v>
      </c>
      <c r="D35" s="4" t="s">
        <v>1227</v>
      </c>
      <c r="E35" s="4" t="s">
        <v>1230</v>
      </c>
    </row>
    <row r="36" spans="2:5" x14ac:dyDescent="0.45">
      <c r="B36" s="4" t="s">
        <v>1219</v>
      </c>
      <c r="C36" s="4">
        <v>0</v>
      </c>
      <c r="D36" s="4" t="s">
        <v>666</v>
      </c>
      <c r="E36" s="4" t="s">
        <v>1229</v>
      </c>
    </row>
    <row r="37" spans="2:5" x14ac:dyDescent="0.45">
      <c r="B37" s="4" t="s">
        <v>1219</v>
      </c>
      <c r="C37" s="4">
        <v>0</v>
      </c>
      <c r="D37" s="4" t="s">
        <v>1223</v>
      </c>
      <c r="E37" s="4" t="s">
        <v>1228</v>
      </c>
    </row>
    <row r="38" spans="2:5" x14ac:dyDescent="0.45">
      <c r="B38" s="4" t="s">
        <v>1219</v>
      </c>
      <c r="C38" s="4">
        <v>0</v>
      </c>
      <c r="D38" s="4" t="s">
        <v>1227</v>
      </c>
      <c r="E38" s="4" t="s">
        <v>1226</v>
      </c>
    </row>
    <row r="39" spans="2:5" x14ac:dyDescent="0.45">
      <c r="B39" s="4" t="s">
        <v>1219</v>
      </c>
      <c r="C39" s="4">
        <v>0</v>
      </c>
      <c r="D39" s="4" t="s">
        <v>1225</v>
      </c>
      <c r="E39" s="4" t="s">
        <v>1224</v>
      </c>
    </row>
    <row r="40" spans="2:5" x14ac:dyDescent="0.45">
      <c r="B40" s="4" t="s">
        <v>1219</v>
      </c>
      <c r="C40" s="4">
        <v>0</v>
      </c>
      <c r="D40" s="4" t="s">
        <v>1223</v>
      </c>
      <c r="E40" s="4" t="s">
        <v>1222</v>
      </c>
    </row>
    <row r="41" spans="2:5" x14ac:dyDescent="0.45">
      <c r="B41" s="4" t="s">
        <v>1219</v>
      </c>
      <c r="C41" s="4">
        <v>0</v>
      </c>
      <c r="D41" s="4" t="s">
        <v>666</v>
      </c>
      <c r="E41" s="4" t="s">
        <v>1221</v>
      </c>
    </row>
    <row r="42" spans="2:5" x14ac:dyDescent="0.45">
      <c r="B42" s="4" t="s">
        <v>1219</v>
      </c>
      <c r="C42" s="4">
        <v>0</v>
      </c>
      <c r="D42" s="4" t="s">
        <v>1218</v>
      </c>
      <c r="E42" s="4" t="s">
        <v>1220</v>
      </c>
    </row>
    <row r="43" spans="2:5" x14ac:dyDescent="0.45">
      <c r="B43" s="4" t="s">
        <v>1219</v>
      </c>
      <c r="C43" s="4">
        <v>0</v>
      </c>
      <c r="D43" s="4" t="s">
        <v>1218</v>
      </c>
      <c r="E43" s="4" t="s">
        <v>1217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6C29-016F-4F95-858A-151C241EEFD9}">
  <sheetPr>
    <tabColor rgb="FF7030A0"/>
  </sheetPr>
  <dimension ref="B3:E64"/>
  <sheetViews>
    <sheetView topLeftCell="A37" zoomScaleNormal="100" zoomScaleSheetLayoutView="75" workbookViewId="0">
      <selection activeCell="J57" sqref="J57"/>
    </sheetView>
  </sheetViews>
  <sheetFormatPr defaultColWidth="8.58203125" defaultRowHeight="17" x14ac:dyDescent="0.45"/>
  <cols>
    <col min="1" max="1" width="8.58203125" style="6"/>
    <col min="2" max="2" width="8.5" style="6" bestFit="1" customWidth="1"/>
    <col min="3" max="3" width="8.58203125" style="6"/>
    <col min="4" max="4" width="22.83203125" style="3" bestFit="1" customWidth="1"/>
    <col min="5" max="5" width="52.75" style="3" bestFit="1" customWidth="1"/>
    <col min="6" max="16384" width="8.58203125" style="6"/>
  </cols>
  <sheetData>
    <row r="3" spans="2:5" x14ac:dyDescent="0.45">
      <c r="B3" s="4" t="s">
        <v>1198</v>
      </c>
      <c r="C3" s="4">
        <v>1</v>
      </c>
      <c r="D3" s="4" t="s">
        <v>1374</v>
      </c>
      <c r="E3" s="4" t="s">
        <v>1373</v>
      </c>
    </row>
    <row r="4" spans="2:5" x14ac:dyDescent="0.45">
      <c r="B4" s="4" t="s">
        <v>1198</v>
      </c>
      <c r="C4" s="4">
        <v>1</v>
      </c>
      <c r="D4" s="4" t="s">
        <v>1344</v>
      </c>
      <c r="E4" s="4" t="s">
        <v>1372</v>
      </c>
    </row>
    <row r="5" spans="2:5" x14ac:dyDescent="0.45">
      <c r="B5" s="4" t="s">
        <v>1198</v>
      </c>
      <c r="C5" s="4">
        <v>1</v>
      </c>
      <c r="D5" s="4" t="s">
        <v>1371</v>
      </c>
      <c r="E5" s="4" t="s">
        <v>1370</v>
      </c>
    </row>
    <row r="6" spans="2:5" x14ac:dyDescent="0.45">
      <c r="B6" s="4" t="s">
        <v>1198</v>
      </c>
      <c r="C6" s="4">
        <v>1</v>
      </c>
      <c r="D6" s="4" t="s">
        <v>1369</v>
      </c>
      <c r="E6" s="4" t="s">
        <v>1368</v>
      </c>
    </row>
    <row r="7" spans="2:5" x14ac:dyDescent="0.45">
      <c r="B7" s="4" t="s">
        <v>1198</v>
      </c>
      <c r="C7" s="4">
        <v>1</v>
      </c>
      <c r="D7" s="4" t="s">
        <v>1367</v>
      </c>
      <c r="E7" s="4" t="s">
        <v>1366</v>
      </c>
    </row>
    <row r="8" spans="2:5" x14ac:dyDescent="0.45">
      <c r="B8" s="4" t="s">
        <v>1198</v>
      </c>
      <c r="C8" s="4">
        <v>1</v>
      </c>
      <c r="D8" s="4" t="s">
        <v>1365</v>
      </c>
      <c r="E8" s="4" t="s">
        <v>1364</v>
      </c>
    </row>
    <row r="9" spans="2:5" x14ac:dyDescent="0.45">
      <c r="B9" s="4" t="s">
        <v>1198</v>
      </c>
      <c r="C9" s="4">
        <v>1</v>
      </c>
      <c r="D9" s="4" t="s">
        <v>1336</v>
      </c>
      <c r="E9" s="4" t="s">
        <v>1363</v>
      </c>
    </row>
    <row r="10" spans="2:5" x14ac:dyDescent="0.45">
      <c r="B10" s="4" t="s">
        <v>1198</v>
      </c>
      <c r="C10" s="4">
        <v>1</v>
      </c>
      <c r="D10" s="4" t="s">
        <v>1362</v>
      </c>
      <c r="E10" s="4" t="s">
        <v>1361</v>
      </c>
    </row>
    <row r="11" spans="2:5" x14ac:dyDescent="0.45">
      <c r="B11" s="4" t="s">
        <v>1198</v>
      </c>
      <c r="C11" s="4">
        <v>1</v>
      </c>
      <c r="D11" s="4" t="s">
        <v>1360</v>
      </c>
      <c r="E11" s="4" t="s">
        <v>1359</v>
      </c>
    </row>
    <row r="12" spans="2:5" x14ac:dyDescent="0.45">
      <c r="B12" s="4" t="s">
        <v>1198</v>
      </c>
      <c r="C12" s="4">
        <v>1</v>
      </c>
      <c r="D12" s="4" t="s">
        <v>1358</v>
      </c>
      <c r="E12" s="4" t="s">
        <v>1357</v>
      </c>
    </row>
    <row r="13" spans="2:5" x14ac:dyDescent="0.45">
      <c r="B13" s="4" t="s">
        <v>1198</v>
      </c>
      <c r="C13" s="4">
        <v>1</v>
      </c>
      <c r="D13" s="4" t="s">
        <v>1356</v>
      </c>
      <c r="E13" s="4" t="s">
        <v>1355</v>
      </c>
    </row>
    <row r="14" spans="2:5" x14ac:dyDescent="0.45">
      <c r="B14" s="4" t="s">
        <v>1198</v>
      </c>
      <c r="C14" s="4">
        <v>1</v>
      </c>
      <c r="D14" s="4" t="s">
        <v>1354</v>
      </c>
      <c r="E14" s="4" t="s">
        <v>1353</v>
      </c>
    </row>
    <row r="15" spans="2:5" x14ac:dyDescent="0.45">
      <c r="B15" s="4" t="s">
        <v>1198</v>
      </c>
      <c r="C15" s="4">
        <v>1</v>
      </c>
      <c r="D15" s="4" t="s">
        <v>1352</v>
      </c>
      <c r="E15" s="4" t="s">
        <v>1351</v>
      </c>
    </row>
    <row r="16" spans="2:5" x14ac:dyDescent="0.45">
      <c r="B16" s="4" t="s">
        <v>1198</v>
      </c>
      <c r="C16" s="4">
        <v>1</v>
      </c>
      <c r="D16" s="4" t="s">
        <v>1350</v>
      </c>
      <c r="E16" s="4" t="s">
        <v>1349</v>
      </c>
    </row>
    <row r="17" spans="2:5" x14ac:dyDescent="0.45">
      <c r="B17" s="4"/>
      <c r="C17" s="4"/>
      <c r="D17" s="4"/>
      <c r="E17" s="4"/>
    </row>
    <row r="18" spans="2:5" x14ac:dyDescent="0.45">
      <c r="B18" s="4" t="s">
        <v>1198</v>
      </c>
      <c r="C18" s="4">
        <v>2</v>
      </c>
      <c r="D18" s="4" t="s">
        <v>1348</v>
      </c>
      <c r="E18" s="4" t="s">
        <v>1347</v>
      </c>
    </row>
    <row r="19" spans="2:5" x14ac:dyDescent="0.45">
      <c r="B19" s="4" t="s">
        <v>1198</v>
      </c>
      <c r="C19" s="4">
        <v>2</v>
      </c>
      <c r="D19" s="4" t="s">
        <v>1346</v>
      </c>
      <c r="E19" s="4" t="s">
        <v>1345</v>
      </c>
    </row>
    <row r="20" spans="2:5" x14ac:dyDescent="0.45">
      <c r="B20" s="4" t="s">
        <v>1198</v>
      </c>
      <c r="C20" s="4">
        <v>2</v>
      </c>
      <c r="D20" s="4" t="s">
        <v>1344</v>
      </c>
      <c r="E20" s="4" t="s">
        <v>1343</v>
      </c>
    </row>
    <row r="21" spans="2:5" x14ac:dyDescent="0.45">
      <c r="B21" s="4" t="s">
        <v>1198</v>
      </c>
      <c r="C21" s="4">
        <v>2</v>
      </c>
      <c r="D21" s="4" t="s">
        <v>1342</v>
      </c>
      <c r="E21" s="4" t="s">
        <v>1341</v>
      </c>
    </row>
    <row r="22" spans="2:5" x14ac:dyDescent="0.45">
      <c r="B22" s="4" t="s">
        <v>1198</v>
      </c>
      <c r="C22" s="4">
        <v>2</v>
      </c>
      <c r="D22" s="4" t="s">
        <v>1340</v>
      </c>
      <c r="E22" s="4" t="s">
        <v>1339</v>
      </c>
    </row>
    <row r="23" spans="2:5" x14ac:dyDescent="0.45">
      <c r="B23" s="4" t="s">
        <v>1198</v>
      </c>
      <c r="C23" s="4">
        <v>2</v>
      </c>
      <c r="D23" s="4" t="s">
        <v>1338</v>
      </c>
      <c r="E23" s="4" t="s">
        <v>1337</v>
      </c>
    </row>
    <row r="24" spans="2:5" x14ac:dyDescent="0.45">
      <c r="B24" s="4" t="s">
        <v>1198</v>
      </c>
      <c r="C24" s="4">
        <v>2</v>
      </c>
      <c r="D24" s="4" t="s">
        <v>1336</v>
      </c>
      <c r="E24" s="4" t="s">
        <v>1335</v>
      </c>
    </row>
    <row r="25" spans="2:5" x14ac:dyDescent="0.45">
      <c r="B25" s="4" t="s">
        <v>1198</v>
      </c>
      <c r="C25" s="4">
        <v>2</v>
      </c>
      <c r="D25" s="4" t="s">
        <v>1334</v>
      </c>
      <c r="E25" s="4" t="s">
        <v>1333</v>
      </c>
    </row>
    <row r="26" spans="2:5" x14ac:dyDescent="0.45">
      <c r="B26" s="4" t="s">
        <v>1198</v>
      </c>
      <c r="C26" s="4">
        <v>2</v>
      </c>
      <c r="D26" s="4" t="s">
        <v>1283</v>
      </c>
      <c r="E26" s="4" t="s">
        <v>1332</v>
      </c>
    </row>
    <row r="27" spans="2:5" x14ac:dyDescent="0.45">
      <c r="B27" s="4" t="s">
        <v>1198</v>
      </c>
      <c r="C27" s="4">
        <v>2</v>
      </c>
      <c r="D27" s="4" t="s">
        <v>1331</v>
      </c>
      <c r="E27" s="4" t="s">
        <v>1330</v>
      </c>
    </row>
    <row r="28" spans="2:5" x14ac:dyDescent="0.45">
      <c r="B28" s="4" t="s">
        <v>1198</v>
      </c>
      <c r="C28" s="4">
        <v>2</v>
      </c>
      <c r="D28" s="4" t="s">
        <v>1329</v>
      </c>
      <c r="E28" s="4" t="s">
        <v>1328</v>
      </c>
    </row>
    <row r="29" spans="2:5" x14ac:dyDescent="0.45">
      <c r="B29" s="4" t="s">
        <v>1198</v>
      </c>
      <c r="C29" s="4">
        <v>2</v>
      </c>
      <c r="D29" s="4" t="s">
        <v>1327</v>
      </c>
      <c r="E29" s="4" t="s">
        <v>1326</v>
      </c>
    </row>
    <row r="30" spans="2:5" x14ac:dyDescent="0.45">
      <c r="B30" s="4" t="s">
        <v>1198</v>
      </c>
      <c r="C30" s="4">
        <v>2</v>
      </c>
      <c r="D30" s="4" t="s">
        <v>1325</v>
      </c>
      <c r="E30" s="4" t="s">
        <v>1324</v>
      </c>
    </row>
    <row r="31" spans="2:5" x14ac:dyDescent="0.45">
      <c r="B31" s="4"/>
      <c r="C31" s="4"/>
      <c r="D31" s="4"/>
      <c r="E31" s="4"/>
    </row>
    <row r="32" spans="2:5" x14ac:dyDescent="0.45">
      <c r="B32" s="5" t="s">
        <v>1198</v>
      </c>
      <c r="C32" s="5">
        <v>3</v>
      </c>
      <c r="D32" s="5" t="s">
        <v>1323</v>
      </c>
      <c r="E32" s="5" t="s">
        <v>1322</v>
      </c>
    </row>
    <row r="33" spans="2:5" x14ac:dyDescent="0.45">
      <c r="B33" s="4" t="s">
        <v>1198</v>
      </c>
      <c r="C33" s="4">
        <v>3</v>
      </c>
      <c r="D33" s="4" t="s">
        <v>1299</v>
      </c>
      <c r="E33" s="4" t="s">
        <v>1321</v>
      </c>
    </row>
    <row r="34" spans="2:5" x14ac:dyDescent="0.45">
      <c r="B34" s="4" t="s">
        <v>1198</v>
      </c>
      <c r="C34" s="4">
        <v>3</v>
      </c>
      <c r="D34" s="4" t="s">
        <v>1295</v>
      </c>
      <c r="E34" s="4" t="s">
        <v>1320</v>
      </c>
    </row>
    <row r="35" spans="2:5" x14ac:dyDescent="0.45">
      <c r="B35" s="4" t="s">
        <v>1198</v>
      </c>
      <c r="C35" s="4">
        <v>3</v>
      </c>
      <c r="D35" s="4" t="s">
        <v>1297</v>
      </c>
      <c r="E35" s="4" t="s">
        <v>1319</v>
      </c>
    </row>
    <row r="36" spans="2:5" x14ac:dyDescent="0.45">
      <c r="B36" s="4" t="s">
        <v>1198</v>
      </c>
      <c r="C36" s="4">
        <v>3</v>
      </c>
      <c r="D36" s="4" t="s">
        <v>1318</v>
      </c>
      <c r="E36" s="4" t="s">
        <v>1317</v>
      </c>
    </row>
    <row r="37" spans="2:5" x14ac:dyDescent="0.45">
      <c r="B37" s="4" t="s">
        <v>1198</v>
      </c>
      <c r="C37" s="4">
        <v>3</v>
      </c>
      <c r="D37" s="4" t="s">
        <v>1293</v>
      </c>
      <c r="E37" s="4" t="s">
        <v>1316</v>
      </c>
    </row>
    <row r="38" spans="2:5" x14ac:dyDescent="0.45">
      <c r="B38" s="4" t="s">
        <v>1198</v>
      </c>
      <c r="C38" s="4">
        <v>3</v>
      </c>
      <c r="D38" s="4" t="s">
        <v>1289</v>
      </c>
      <c r="E38" s="4" t="s">
        <v>1315</v>
      </c>
    </row>
    <row r="39" spans="2:5" x14ac:dyDescent="0.45">
      <c r="B39" s="4" t="s">
        <v>1198</v>
      </c>
      <c r="C39" s="4">
        <v>3</v>
      </c>
      <c r="D39" s="4" t="s">
        <v>1291</v>
      </c>
      <c r="E39" s="4" t="s">
        <v>1314</v>
      </c>
    </row>
    <row r="40" spans="2:5" x14ac:dyDescent="0.45">
      <c r="B40" s="4" t="s">
        <v>1198</v>
      </c>
      <c r="C40" s="4">
        <v>3</v>
      </c>
      <c r="D40" s="4" t="s">
        <v>1313</v>
      </c>
      <c r="E40" s="4" t="s">
        <v>1312</v>
      </c>
    </row>
    <row r="41" spans="2:5" x14ac:dyDescent="0.45">
      <c r="B41" s="4" t="s">
        <v>1198</v>
      </c>
      <c r="C41" s="4">
        <v>3</v>
      </c>
      <c r="D41" s="4" t="s">
        <v>1301</v>
      </c>
      <c r="E41" s="4" t="s">
        <v>1311</v>
      </c>
    </row>
    <row r="42" spans="2:5" x14ac:dyDescent="0.45">
      <c r="B42" s="4" t="s">
        <v>1198</v>
      </c>
      <c r="C42" s="4">
        <v>3</v>
      </c>
      <c r="D42" s="4" t="s">
        <v>1310</v>
      </c>
      <c r="E42" s="4" t="s">
        <v>1309</v>
      </c>
    </row>
    <row r="43" spans="2:5" x14ac:dyDescent="0.45">
      <c r="B43" s="4" t="s">
        <v>1198</v>
      </c>
      <c r="C43" s="4">
        <v>3</v>
      </c>
      <c r="D43" s="4" t="s">
        <v>1308</v>
      </c>
      <c r="E43" s="4" t="s">
        <v>1307</v>
      </c>
    </row>
    <row r="44" spans="2:5" x14ac:dyDescent="0.45">
      <c r="B44" s="4" t="s">
        <v>1198</v>
      </c>
      <c r="C44" s="4">
        <v>3</v>
      </c>
      <c r="D44" s="4" t="s">
        <v>1303</v>
      </c>
      <c r="E44" s="4" t="s">
        <v>1306</v>
      </c>
    </row>
    <row r="45" spans="2:5" x14ac:dyDescent="0.45">
      <c r="B45" s="4" t="s">
        <v>1198</v>
      </c>
      <c r="C45" s="4">
        <v>3</v>
      </c>
      <c r="D45" s="4" t="s">
        <v>1305</v>
      </c>
      <c r="E45" s="4" t="s">
        <v>1304</v>
      </c>
    </row>
    <row r="46" spans="2:5" x14ac:dyDescent="0.45">
      <c r="B46" s="4" t="s">
        <v>1198</v>
      </c>
      <c r="C46" s="4">
        <v>3</v>
      </c>
      <c r="D46" s="4" t="s">
        <v>1303</v>
      </c>
      <c r="E46" s="4" t="s">
        <v>1302</v>
      </c>
    </row>
    <row r="47" spans="2:5" x14ac:dyDescent="0.45">
      <c r="B47" s="4"/>
      <c r="C47" s="4"/>
      <c r="D47" s="4"/>
      <c r="E47" s="4"/>
    </row>
    <row r="48" spans="2:5" x14ac:dyDescent="0.45">
      <c r="B48" s="4" t="s">
        <v>1198</v>
      </c>
      <c r="C48" s="4">
        <v>4</v>
      </c>
      <c r="D48" s="4" t="s">
        <v>1301</v>
      </c>
      <c r="E48" s="4" t="s">
        <v>1300</v>
      </c>
    </row>
    <row r="49" spans="2:5" x14ac:dyDescent="0.45">
      <c r="B49" s="4" t="s">
        <v>1198</v>
      </c>
      <c r="C49" s="4">
        <v>4</v>
      </c>
      <c r="D49" s="4" t="s">
        <v>1299</v>
      </c>
      <c r="E49" s="4" t="s">
        <v>1298</v>
      </c>
    </row>
    <row r="50" spans="2:5" x14ac:dyDescent="0.45">
      <c r="B50" s="4" t="s">
        <v>1198</v>
      </c>
      <c r="C50" s="4">
        <v>4</v>
      </c>
      <c r="D50" s="4" t="s">
        <v>1297</v>
      </c>
      <c r="E50" s="4" t="s">
        <v>1296</v>
      </c>
    </row>
    <row r="51" spans="2:5" x14ac:dyDescent="0.45">
      <c r="B51" s="4" t="s">
        <v>1198</v>
      </c>
      <c r="C51" s="4">
        <v>4</v>
      </c>
      <c r="D51" s="4" t="s">
        <v>1295</v>
      </c>
      <c r="E51" s="4" t="s">
        <v>1294</v>
      </c>
    </row>
    <row r="52" spans="2:5" x14ac:dyDescent="0.45">
      <c r="B52" s="4" t="s">
        <v>1198</v>
      </c>
      <c r="C52" s="4">
        <v>4</v>
      </c>
      <c r="D52" s="4" t="s">
        <v>1293</v>
      </c>
      <c r="E52" s="4" t="s">
        <v>1292</v>
      </c>
    </row>
    <row r="53" spans="2:5" x14ac:dyDescent="0.45">
      <c r="B53" s="4" t="s">
        <v>1198</v>
      </c>
      <c r="C53" s="4">
        <v>4</v>
      </c>
      <c r="D53" s="4" t="s">
        <v>1291</v>
      </c>
      <c r="E53" s="4" t="s">
        <v>1290</v>
      </c>
    </row>
    <row r="54" spans="2:5" x14ac:dyDescent="0.45">
      <c r="B54" s="4" t="s">
        <v>1198</v>
      </c>
      <c r="C54" s="4">
        <v>4</v>
      </c>
      <c r="D54" s="4" t="s">
        <v>1289</v>
      </c>
      <c r="E54" s="4" t="s">
        <v>1288</v>
      </c>
    </row>
    <row r="55" spans="2:5" x14ac:dyDescent="0.45">
      <c r="B55" s="4" t="s">
        <v>1198</v>
      </c>
      <c r="C55" s="4">
        <v>4</v>
      </c>
      <c r="D55" s="4" t="s">
        <v>1287</v>
      </c>
      <c r="E55" s="4" t="s">
        <v>1286</v>
      </c>
    </row>
    <row r="56" spans="2:5" x14ac:dyDescent="0.45">
      <c r="B56" s="4" t="s">
        <v>1198</v>
      </c>
      <c r="C56" s="4">
        <v>4</v>
      </c>
      <c r="D56" s="4" t="s">
        <v>1285</v>
      </c>
      <c r="E56" s="4" t="s">
        <v>1284</v>
      </c>
    </row>
    <row r="57" spans="2:5" x14ac:dyDescent="0.45">
      <c r="B57" s="4" t="s">
        <v>1198</v>
      </c>
      <c r="C57" s="4">
        <v>4</v>
      </c>
      <c r="D57" s="4" t="s">
        <v>1283</v>
      </c>
      <c r="E57" s="4" t="s">
        <v>1282</v>
      </c>
    </row>
    <row r="58" spans="2:5" x14ac:dyDescent="0.45">
      <c r="B58" s="4" t="s">
        <v>1198</v>
      </c>
      <c r="C58" s="4">
        <v>4</v>
      </c>
      <c r="D58" s="4" t="s">
        <v>1281</v>
      </c>
      <c r="E58" s="4" t="s">
        <v>1280</v>
      </c>
    </row>
    <row r="59" spans="2:5" x14ac:dyDescent="0.45">
      <c r="B59" s="4" t="s">
        <v>1198</v>
      </c>
      <c r="C59" s="4">
        <v>4</v>
      </c>
      <c r="D59" s="4" t="s">
        <v>1279</v>
      </c>
      <c r="E59" s="4" t="s">
        <v>1278</v>
      </c>
    </row>
    <row r="60" spans="2:5" x14ac:dyDescent="0.45">
      <c r="B60" s="4" t="s">
        <v>1198</v>
      </c>
      <c r="C60" s="4">
        <v>4</v>
      </c>
      <c r="D60" s="4" t="s">
        <v>1277</v>
      </c>
      <c r="E60" s="4" t="s">
        <v>1276</v>
      </c>
    </row>
    <row r="61" spans="2:5" x14ac:dyDescent="0.45">
      <c r="B61" s="4" t="s">
        <v>1198</v>
      </c>
      <c r="C61" s="4">
        <v>4</v>
      </c>
      <c r="D61" s="4" t="s">
        <v>1275</v>
      </c>
      <c r="E61" s="4" t="s">
        <v>1274</v>
      </c>
    </row>
    <row r="62" spans="2:5" x14ac:dyDescent="0.45">
      <c r="B62" s="4" t="s">
        <v>1198</v>
      </c>
      <c r="C62" s="4">
        <v>4</v>
      </c>
      <c r="D62" s="4" t="s">
        <v>1273</v>
      </c>
      <c r="E62" s="4" t="s">
        <v>1272</v>
      </c>
    </row>
    <row r="63" spans="2:5" x14ac:dyDescent="0.45">
      <c r="B63" s="4"/>
      <c r="C63" s="4"/>
      <c r="D63" s="4"/>
      <c r="E63" s="4"/>
    </row>
    <row r="64" spans="2:5" x14ac:dyDescent="0.45">
      <c r="B64" s="5" t="s">
        <v>1198</v>
      </c>
      <c r="C64" s="5">
        <v>5</v>
      </c>
      <c r="D64" s="5" t="s">
        <v>1271</v>
      </c>
      <c r="E64" s="5" t="s">
        <v>1270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F710-6247-4A7E-9E35-F72C4664C5C0}">
  <sheetPr>
    <tabColor rgb="FF7030A0"/>
  </sheetPr>
  <dimension ref="B3:F79"/>
  <sheetViews>
    <sheetView zoomScaleNormal="100" zoomScaleSheetLayoutView="75" workbookViewId="0">
      <selection activeCell="E85" sqref="E85"/>
    </sheetView>
  </sheetViews>
  <sheetFormatPr defaultColWidth="8.58203125" defaultRowHeight="17" x14ac:dyDescent="0.45"/>
  <cols>
    <col min="1" max="3" width="8.58203125" style="7"/>
    <col min="4" max="4" width="28" style="7" bestFit="1" customWidth="1"/>
    <col min="5" max="5" width="45" style="7" bestFit="1" customWidth="1"/>
    <col min="6" max="6" width="24.58203125" style="7" bestFit="1" customWidth="1"/>
    <col min="7" max="16384" width="8.58203125" style="7"/>
  </cols>
  <sheetData>
    <row r="3" spans="2:5" x14ac:dyDescent="0.45">
      <c r="B3" s="11" t="s">
        <v>1378</v>
      </c>
      <c r="C3" s="11">
        <v>1</v>
      </c>
      <c r="D3" s="12" t="s">
        <v>1493</v>
      </c>
      <c r="E3" s="12" t="s">
        <v>1492</v>
      </c>
    </row>
    <row r="4" spans="2:5" x14ac:dyDescent="0.45">
      <c r="B4" s="11" t="s">
        <v>1378</v>
      </c>
      <c r="C4" s="11">
        <v>1</v>
      </c>
      <c r="D4" s="12" t="s">
        <v>1491</v>
      </c>
      <c r="E4" s="12" t="s">
        <v>1490</v>
      </c>
    </row>
    <row r="5" spans="2:5" x14ac:dyDescent="0.45">
      <c r="B5" s="11" t="s">
        <v>1378</v>
      </c>
      <c r="C5" s="11">
        <v>1</v>
      </c>
      <c r="D5" s="13" t="s">
        <v>1489</v>
      </c>
      <c r="E5" s="13" t="s">
        <v>1488</v>
      </c>
    </row>
    <row r="6" spans="2:5" x14ac:dyDescent="0.45">
      <c r="B6" s="11" t="s">
        <v>1378</v>
      </c>
      <c r="C6" s="11">
        <v>1</v>
      </c>
      <c r="D6" s="13" t="s">
        <v>1487</v>
      </c>
      <c r="E6" s="13" t="s">
        <v>1486</v>
      </c>
    </row>
    <row r="7" spans="2:5" x14ac:dyDescent="0.45">
      <c r="B7" s="11" t="s">
        <v>1378</v>
      </c>
      <c r="C7" s="11">
        <v>1</v>
      </c>
      <c r="D7" s="12" t="s">
        <v>1485</v>
      </c>
      <c r="E7" s="12" t="s">
        <v>1484</v>
      </c>
    </row>
    <row r="8" spans="2:5" x14ac:dyDescent="0.45">
      <c r="B8" s="11" t="s">
        <v>1378</v>
      </c>
      <c r="C8" s="11">
        <v>1</v>
      </c>
      <c r="D8" s="12" t="s">
        <v>1483</v>
      </c>
      <c r="E8" s="12" t="s">
        <v>1482</v>
      </c>
    </row>
    <row r="9" spans="2:5" x14ac:dyDescent="0.45">
      <c r="B9" s="11" t="s">
        <v>1378</v>
      </c>
      <c r="C9" s="11">
        <v>1</v>
      </c>
      <c r="D9" s="13" t="s">
        <v>1481</v>
      </c>
      <c r="E9" s="13" t="s">
        <v>1480</v>
      </c>
    </row>
    <row r="10" spans="2:5" x14ac:dyDescent="0.45">
      <c r="B10" s="11" t="s">
        <v>1378</v>
      </c>
      <c r="C10" s="11">
        <v>1</v>
      </c>
      <c r="D10" s="13" t="s">
        <v>1479</v>
      </c>
      <c r="E10" s="13" t="s">
        <v>1478</v>
      </c>
    </row>
    <row r="11" spans="2:5" x14ac:dyDescent="0.45">
      <c r="B11" s="11" t="s">
        <v>1378</v>
      </c>
      <c r="C11" s="11">
        <v>1</v>
      </c>
      <c r="D11" s="11" t="s">
        <v>1477</v>
      </c>
      <c r="E11" s="11" t="s">
        <v>1476</v>
      </c>
    </row>
    <row r="12" spans="2:5" x14ac:dyDescent="0.45">
      <c r="B12" s="11" t="s">
        <v>1378</v>
      </c>
      <c r="C12" s="11">
        <v>1</v>
      </c>
      <c r="D12" s="11" t="s">
        <v>1475</v>
      </c>
      <c r="E12" s="11" t="s">
        <v>1474</v>
      </c>
    </row>
    <row r="13" spans="2:5" x14ac:dyDescent="0.45">
      <c r="B13" s="11" t="s">
        <v>1378</v>
      </c>
      <c r="C13" s="11">
        <v>1</v>
      </c>
      <c r="D13" s="11" t="s">
        <v>1471</v>
      </c>
      <c r="E13" s="11" t="s">
        <v>1473</v>
      </c>
    </row>
    <row r="14" spans="2:5" x14ac:dyDescent="0.45">
      <c r="B14" s="11" t="s">
        <v>1378</v>
      </c>
      <c r="C14" s="11">
        <v>1</v>
      </c>
      <c r="D14" s="11" t="s">
        <v>1471</v>
      </c>
      <c r="E14" s="11" t="s">
        <v>1472</v>
      </c>
    </row>
    <row r="15" spans="2:5" x14ac:dyDescent="0.45">
      <c r="B15" s="11" t="s">
        <v>1378</v>
      </c>
      <c r="C15" s="11">
        <v>1</v>
      </c>
      <c r="D15" s="11" t="s">
        <v>1471</v>
      </c>
      <c r="E15" s="11" t="s">
        <v>1470</v>
      </c>
    </row>
    <row r="16" spans="2:5" x14ac:dyDescent="0.45">
      <c r="B16" s="11" t="s">
        <v>1378</v>
      </c>
      <c r="C16" s="11">
        <v>1</v>
      </c>
      <c r="D16" s="11" t="s">
        <v>1469</v>
      </c>
      <c r="E16" s="11" t="s">
        <v>1468</v>
      </c>
    </row>
    <row r="17" spans="2:5" s="8" customFormat="1" x14ac:dyDescent="0.45">
      <c r="B17" s="14" t="s">
        <v>1378</v>
      </c>
      <c r="C17" s="11">
        <v>1</v>
      </c>
      <c r="D17" s="14" t="s">
        <v>1455</v>
      </c>
      <c r="E17" s="14" t="s">
        <v>1467</v>
      </c>
    </row>
    <row r="18" spans="2:5" s="8" customFormat="1" x14ac:dyDescent="0.45">
      <c r="B18" s="14" t="s">
        <v>1378</v>
      </c>
      <c r="C18" s="11">
        <v>1</v>
      </c>
      <c r="D18" s="14" t="s">
        <v>1457</v>
      </c>
      <c r="E18" s="14" t="s">
        <v>1466</v>
      </c>
    </row>
    <row r="19" spans="2:5" x14ac:dyDescent="0.45">
      <c r="B19" s="11" t="s">
        <v>1378</v>
      </c>
      <c r="C19" s="11">
        <v>1</v>
      </c>
      <c r="D19" s="11" t="s">
        <v>1465</v>
      </c>
      <c r="E19" s="11" t="s">
        <v>1464</v>
      </c>
    </row>
    <row r="20" spans="2:5" x14ac:dyDescent="0.45">
      <c r="B20" s="11" t="s">
        <v>1378</v>
      </c>
      <c r="C20" s="11">
        <v>1</v>
      </c>
      <c r="D20" s="11" t="s">
        <v>1463</v>
      </c>
      <c r="E20" s="11" t="s">
        <v>1462</v>
      </c>
    </row>
    <row r="21" spans="2:5" x14ac:dyDescent="0.45">
      <c r="B21" s="11" t="s">
        <v>1378</v>
      </c>
      <c r="C21" s="11">
        <v>1</v>
      </c>
      <c r="D21" s="11" t="s">
        <v>1461</v>
      </c>
      <c r="E21" s="11" t="s">
        <v>1460</v>
      </c>
    </row>
    <row r="22" spans="2:5" x14ac:dyDescent="0.45">
      <c r="B22" s="11" t="s">
        <v>1378</v>
      </c>
      <c r="C22" s="11">
        <v>1</v>
      </c>
      <c r="D22" s="11" t="s">
        <v>1459</v>
      </c>
      <c r="E22" s="11" t="s">
        <v>1458</v>
      </c>
    </row>
    <row r="23" spans="2:5" s="8" customFormat="1" x14ac:dyDescent="0.45">
      <c r="B23" s="14" t="s">
        <v>1378</v>
      </c>
      <c r="C23" s="11">
        <v>1</v>
      </c>
      <c r="D23" s="14" t="s">
        <v>1457</v>
      </c>
      <c r="E23" s="14" t="s">
        <v>1456</v>
      </c>
    </row>
    <row r="24" spans="2:5" s="8" customFormat="1" x14ac:dyDescent="0.45">
      <c r="B24" s="14" t="s">
        <v>1378</v>
      </c>
      <c r="C24" s="11">
        <v>1</v>
      </c>
      <c r="D24" s="14" t="s">
        <v>1455</v>
      </c>
      <c r="E24" s="14" t="s">
        <v>1454</v>
      </c>
    </row>
    <row r="25" spans="2:5" x14ac:dyDescent="0.45">
      <c r="B25" s="11"/>
      <c r="C25" s="11"/>
      <c r="D25" s="11"/>
      <c r="E25" s="11"/>
    </row>
    <row r="26" spans="2:5" x14ac:dyDescent="0.45">
      <c r="B26" s="11" t="s">
        <v>1378</v>
      </c>
      <c r="C26" s="11">
        <v>2</v>
      </c>
      <c r="D26" s="12" t="s">
        <v>1453</v>
      </c>
      <c r="E26" s="12" t="s">
        <v>1452</v>
      </c>
    </row>
    <row r="27" spans="2:5" x14ac:dyDescent="0.45">
      <c r="B27" s="11" t="s">
        <v>1378</v>
      </c>
      <c r="C27" s="11">
        <v>2</v>
      </c>
      <c r="D27" s="12" t="s">
        <v>1451</v>
      </c>
      <c r="E27" s="12" t="s">
        <v>1450</v>
      </c>
    </row>
    <row r="28" spans="2:5" x14ac:dyDescent="0.45">
      <c r="B28" s="11" t="s">
        <v>1378</v>
      </c>
      <c r="C28" s="11">
        <v>2</v>
      </c>
      <c r="D28" s="13" t="s">
        <v>1449</v>
      </c>
      <c r="E28" s="13" t="s">
        <v>1448</v>
      </c>
    </row>
    <row r="29" spans="2:5" x14ac:dyDescent="0.45">
      <c r="B29" s="11" t="s">
        <v>1378</v>
      </c>
      <c r="C29" s="11">
        <v>2</v>
      </c>
      <c r="D29" s="13" t="s">
        <v>1447</v>
      </c>
      <c r="E29" s="13" t="s">
        <v>1446</v>
      </c>
    </row>
    <row r="30" spans="2:5" x14ac:dyDescent="0.45">
      <c r="B30" s="11" t="s">
        <v>1378</v>
      </c>
      <c r="C30" s="11">
        <v>2</v>
      </c>
      <c r="D30" s="12" t="s">
        <v>1445</v>
      </c>
      <c r="E30" s="12" t="s">
        <v>1444</v>
      </c>
    </row>
    <row r="31" spans="2:5" x14ac:dyDescent="0.45">
      <c r="B31" s="11" t="s">
        <v>1378</v>
      </c>
      <c r="C31" s="11">
        <v>2</v>
      </c>
      <c r="D31" s="12" t="s">
        <v>1443</v>
      </c>
      <c r="E31" s="12" t="s">
        <v>1442</v>
      </c>
    </row>
    <row r="32" spans="2:5" x14ac:dyDescent="0.45">
      <c r="B32" s="11" t="s">
        <v>1378</v>
      </c>
      <c r="C32" s="11">
        <v>2</v>
      </c>
      <c r="D32" s="13" t="s">
        <v>1441</v>
      </c>
      <c r="E32" s="13" t="s">
        <v>1440</v>
      </c>
    </row>
    <row r="33" spans="2:5" x14ac:dyDescent="0.45">
      <c r="B33" s="11" t="s">
        <v>1378</v>
      </c>
      <c r="C33" s="11">
        <v>2</v>
      </c>
      <c r="D33" s="13" t="s">
        <v>1439</v>
      </c>
      <c r="E33" s="13" t="s">
        <v>1438</v>
      </c>
    </row>
    <row r="34" spans="2:5" x14ac:dyDescent="0.45">
      <c r="B34" s="11" t="s">
        <v>1378</v>
      </c>
      <c r="C34" s="11">
        <v>2</v>
      </c>
      <c r="D34" s="11" t="s">
        <v>1436</v>
      </c>
      <c r="E34" s="11" t="s">
        <v>1437</v>
      </c>
    </row>
    <row r="35" spans="2:5" x14ac:dyDescent="0.45">
      <c r="B35" s="11" t="s">
        <v>1378</v>
      </c>
      <c r="C35" s="11">
        <v>2</v>
      </c>
      <c r="D35" s="11" t="s">
        <v>1436</v>
      </c>
      <c r="E35" s="11" t="s">
        <v>1435</v>
      </c>
    </row>
    <row r="36" spans="2:5" x14ac:dyDescent="0.45">
      <c r="B36" s="11" t="s">
        <v>1378</v>
      </c>
      <c r="C36" s="11">
        <v>2</v>
      </c>
      <c r="D36" s="11" t="s">
        <v>1434</v>
      </c>
      <c r="E36" s="11" t="s">
        <v>1433</v>
      </c>
    </row>
    <row r="37" spans="2:5" x14ac:dyDescent="0.45">
      <c r="B37" s="11" t="s">
        <v>1378</v>
      </c>
      <c r="C37" s="11">
        <v>2</v>
      </c>
      <c r="D37" s="11" t="s">
        <v>1432</v>
      </c>
      <c r="E37" s="11" t="s">
        <v>1431</v>
      </c>
    </row>
    <row r="38" spans="2:5" x14ac:dyDescent="0.45">
      <c r="B38" s="11" t="s">
        <v>1378</v>
      </c>
      <c r="C38" s="11">
        <v>2</v>
      </c>
      <c r="D38" s="11" t="s">
        <v>1430</v>
      </c>
      <c r="E38" s="11" t="s">
        <v>1429</v>
      </c>
    </row>
    <row r="39" spans="2:5" x14ac:dyDescent="0.45">
      <c r="B39" s="11" t="s">
        <v>1378</v>
      </c>
      <c r="C39" s="11">
        <v>2</v>
      </c>
      <c r="D39" s="11" t="s">
        <v>1344</v>
      </c>
      <c r="E39" s="11" t="s">
        <v>1428</v>
      </c>
    </row>
    <row r="40" spans="2:5" x14ac:dyDescent="0.45">
      <c r="B40" s="11" t="s">
        <v>1378</v>
      </c>
      <c r="C40" s="11">
        <v>2</v>
      </c>
      <c r="D40" s="11" t="s">
        <v>1297</v>
      </c>
      <c r="E40" s="11" t="s">
        <v>1427</v>
      </c>
    </row>
    <row r="41" spans="2:5" x14ac:dyDescent="0.45">
      <c r="B41" s="11" t="s">
        <v>1378</v>
      </c>
      <c r="C41" s="11">
        <v>2</v>
      </c>
      <c r="D41" s="11" t="s">
        <v>1338</v>
      </c>
      <c r="E41" s="11" t="s">
        <v>1426</v>
      </c>
    </row>
    <row r="42" spans="2:5" x14ac:dyDescent="0.45">
      <c r="B42" s="11" t="s">
        <v>1378</v>
      </c>
      <c r="C42" s="11">
        <v>2</v>
      </c>
      <c r="D42" s="11" t="s">
        <v>1369</v>
      </c>
      <c r="E42" s="11" t="s">
        <v>1425</v>
      </c>
    </row>
    <row r="43" spans="2:5" x14ac:dyDescent="0.45">
      <c r="B43" s="11" t="s">
        <v>1378</v>
      </c>
      <c r="C43" s="11">
        <v>2</v>
      </c>
      <c r="D43" s="11" t="s">
        <v>1424</v>
      </c>
      <c r="E43" s="11" t="s">
        <v>1423</v>
      </c>
    </row>
    <row r="44" spans="2:5" x14ac:dyDescent="0.45">
      <c r="B44" s="11" t="s">
        <v>1378</v>
      </c>
      <c r="C44" s="11">
        <v>2</v>
      </c>
      <c r="D44" s="11" t="s">
        <v>1367</v>
      </c>
      <c r="E44" s="11" t="s">
        <v>1422</v>
      </c>
    </row>
    <row r="45" spans="2:5" x14ac:dyDescent="0.45">
      <c r="B45" s="11" t="s">
        <v>1378</v>
      </c>
      <c r="C45" s="11">
        <v>2</v>
      </c>
      <c r="D45" s="11" t="s">
        <v>1299</v>
      </c>
      <c r="E45" s="11" t="s">
        <v>1421</v>
      </c>
    </row>
    <row r="46" spans="2:5" x14ac:dyDescent="0.45">
      <c r="B46" s="11" t="s">
        <v>1378</v>
      </c>
      <c r="C46" s="11">
        <v>2</v>
      </c>
      <c r="D46" s="11" t="s">
        <v>1318</v>
      </c>
      <c r="E46" s="11" t="s">
        <v>1420</v>
      </c>
    </row>
    <row r="47" spans="2:5" x14ac:dyDescent="0.45">
      <c r="B47" s="11" t="s">
        <v>1378</v>
      </c>
      <c r="C47" s="11">
        <v>2</v>
      </c>
      <c r="D47" s="11" t="s">
        <v>1342</v>
      </c>
      <c r="E47" s="11" t="s">
        <v>1419</v>
      </c>
    </row>
    <row r="48" spans="2:5" x14ac:dyDescent="0.45">
      <c r="B48" s="11" t="s">
        <v>1378</v>
      </c>
      <c r="C48" s="11">
        <v>2</v>
      </c>
      <c r="D48" s="11" t="s">
        <v>1418</v>
      </c>
      <c r="E48" s="11" t="s">
        <v>1417</v>
      </c>
    </row>
    <row r="49" spans="2:6" x14ac:dyDescent="0.45">
      <c r="B49" s="11" t="s">
        <v>1378</v>
      </c>
      <c r="C49" s="11">
        <v>2</v>
      </c>
      <c r="D49" s="11" t="s">
        <v>1374</v>
      </c>
      <c r="E49" s="11" t="s">
        <v>1416</v>
      </c>
    </row>
    <row r="50" spans="2:6" x14ac:dyDescent="0.45">
      <c r="B50" s="11"/>
      <c r="C50" s="11"/>
      <c r="D50" s="11"/>
      <c r="E50" s="11"/>
    </row>
    <row r="51" spans="2:6" x14ac:dyDescent="0.45">
      <c r="B51" s="11" t="s">
        <v>1378</v>
      </c>
      <c r="C51" s="11">
        <v>3</v>
      </c>
      <c r="D51" s="11" t="s">
        <v>1301</v>
      </c>
      <c r="E51" s="11" t="s">
        <v>1415</v>
      </c>
    </row>
    <row r="52" spans="2:6" x14ac:dyDescent="0.45">
      <c r="B52" s="11" t="s">
        <v>1378</v>
      </c>
      <c r="C52" s="11">
        <v>3</v>
      </c>
      <c r="D52" s="11" t="s">
        <v>1336</v>
      </c>
      <c r="E52" s="11" t="s">
        <v>1414</v>
      </c>
    </row>
    <row r="53" spans="2:6" x14ac:dyDescent="0.45">
      <c r="B53" s="11" t="s">
        <v>1378</v>
      </c>
      <c r="C53" s="11">
        <v>3</v>
      </c>
      <c r="D53" s="11" t="s">
        <v>1362</v>
      </c>
      <c r="E53" s="11" t="s">
        <v>1413</v>
      </c>
    </row>
    <row r="54" spans="2:6" x14ac:dyDescent="0.45">
      <c r="B54" s="11" t="s">
        <v>1378</v>
      </c>
      <c r="C54" s="11">
        <v>3</v>
      </c>
      <c r="D54" s="11" t="s">
        <v>1291</v>
      </c>
      <c r="E54" s="11" t="s">
        <v>1412</v>
      </c>
    </row>
    <row r="55" spans="2:6" x14ac:dyDescent="0.45">
      <c r="B55" s="11" t="s">
        <v>1378</v>
      </c>
      <c r="C55" s="11">
        <v>3</v>
      </c>
      <c r="D55" s="11" t="s">
        <v>1338</v>
      </c>
      <c r="E55" s="11" t="s">
        <v>1411</v>
      </c>
    </row>
    <row r="56" spans="2:6" x14ac:dyDescent="0.45">
      <c r="B56" s="11" t="s">
        <v>1378</v>
      </c>
      <c r="C56" s="11">
        <v>3</v>
      </c>
      <c r="D56" s="11" t="s">
        <v>1360</v>
      </c>
      <c r="E56" s="11" t="s">
        <v>1410</v>
      </c>
    </row>
    <row r="57" spans="2:6" x14ac:dyDescent="0.45">
      <c r="B57" s="11" t="s">
        <v>1378</v>
      </c>
      <c r="C57" s="11">
        <v>3</v>
      </c>
      <c r="D57" s="11" t="s">
        <v>1289</v>
      </c>
      <c r="E57" s="11" t="s">
        <v>1409</v>
      </c>
    </row>
    <row r="58" spans="2:6" x14ac:dyDescent="0.45">
      <c r="B58" s="11" t="s">
        <v>1378</v>
      </c>
      <c r="C58" s="11">
        <v>3</v>
      </c>
      <c r="D58" s="11" t="s">
        <v>1358</v>
      </c>
      <c r="E58" s="11" t="s">
        <v>1408</v>
      </c>
    </row>
    <row r="59" spans="2:6" x14ac:dyDescent="0.45">
      <c r="B59" s="11" t="s">
        <v>1378</v>
      </c>
      <c r="C59" s="11">
        <v>3</v>
      </c>
      <c r="D59" s="11" t="s">
        <v>1293</v>
      </c>
      <c r="E59" s="11" t="s">
        <v>1407</v>
      </c>
    </row>
    <row r="60" spans="2:6" x14ac:dyDescent="0.45">
      <c r="B60" s="11" t="s">
        <v>1378</v>
      </c>
      <c r="C60" s="11">
        <v>3</v>
      </c>
      <c r="D60" s="11" t="s">
        <v>1313</v>
      </c>
      <c r="E60" s="11" t="s">
        <v>1406</v>
      </c>
    </row>
    <row r="61" spans="2:6" x14ac:dyDescent="0.45">
      <c r="B61" s="11" t="s">
        <v>1378</v>
      </c>
      <c r="C61" s="11">
        <v>3</v>
      </c>
      <c r="D61" s="11" t="s">
        <v>1405</v>
      </c>
      <c r="E61" s="11" t="s">
        <v>1404</v>
      </c>
    </row>
    <row r="62" spans="2:6" x14ac:dyDescent="0.45">
      <c r="B62" s="11" t="s">
        <v>1378</v>
      </c>
      <c r="C62" s="11">
        <v>3</v>
      </c>
      <c r="D62" s="11" t="s">
        <v>1365</v>
      </c>
      <c r="E62" s="11" t="s">
        <v>1403</v>
      </c>
    </row>
    <row r="63" spans="2:6" s="8" customFormat="1" x14ac:dyDescent="0.45">
      <c r="B63" s="14" t="s">
        <v>1378</v>
      </c>
      <c r="C63" s="14">
        <v>3</v>
      </c>
      <c r="D63" s="14" t="s">
        <v>1402</v>
      </c>
      <c r="E63" s="14" t="s">
        <v>1401</v>
      </c>
      <c r="F63" s="8" t="s">
        <v>1375</v>
      </c>
    </row>
    <row r="64" spans="2:6" x14ac:dyDescent="0.45">
      <c r="B64" s="11"/>
      <c r="C64" s="11"/>
      <c r="D64" s="11"/>
      <c r="E64" s="11"/>
    </row>
    <row r="65" spans="2:6" x14ac:dyDescent="0.45">
      <c r="B65" s="11" t="s">
        <v>1378</v>
      </c>
      <c r="C65" s="11">
        <v>4</v>
      </c>
      <c r="D65" s="11" t="s">
        <v>1400</v>
      </c>
      <c r="E65" s="11" t="s">
        <v>1399</v>
      </c>
    </row>
    <row r="66" spans="2:6" x14ac:dyDescent="0.45">
      <c r="B66" s="11" t="s">
        <v>1378</v>
      </c>
      <c r="C66" s="11">
        <v>4</v>
      </c>
      <c r="D66" s="11" t="s">
        <v>1398</v>
      </c>
      <c r="E66" s="11" t="s">
        <v>1397</v>
      </c>
    </row>
    <row r="67" spans="2:6" x14ac:dyDescent="0.45">
      <c r="B67" s="11" t="s">
        <v>1378</v>
      </c>
      <c r="C67" s="11">
        <v>4</v>
      </c>
      <c r="D67" s="11" t="s">
        <v>1391</v>
      </c>
      <c r="E67" s="11" t="s">
        <v>1396</v>
      </c>
    </row>
    <row r="68" spans="2:6" x14ac:dyDescent="0.45">
      <c r="B68" s="11" t="s">
        <v>1378</v>
      </c>
      <c r="C68" s="11">
        <v>4</v>
      </c>
      <c r="D68" s="11" t="s">
        <v>1395</v>
      </c>
      <c r="E68" s="11" t="s">
        <v>1394</v>
      </c>
    </row>
    <row r="69" spans="2:6" x14ac:dyDescent="0.45">
      <c r="B69" s="11" t="s">
        <v>1378</v>
      </c>
      <c r="C69" s="11">
        <v>4</v>
      </c>
      <c r="D69" s="11" t="s">
        <v>1393</v>
      </c>
      <c r="E69" s="11" t="s">
        <v>1392</v>
      </c>
    </row>
    <row r="70" spans="2:6" x14ac:dyDescent="0.45">
      <c r="B70" s="11" t="s">
        <v>1378</v>
      </c>
      <c r="C70" s="11">
        <v>4</v>
      </c>
      <c r="D70" s="11" t="s">
        <v>1391</v>
      </c>
      <c r="E70" s="11" t="s">
        <v>1390</v>
      </c>
    </row>
    <row r="71" spans="2:6" x14ac:dyDescent="0.45">
      <c r="B71" s="11" t="s">
        <v>1378</v>
      </c>
      <c r="C71" s="11">
        <v>4</v>
      </c>
      <c r="D71" s="11" t="s">
        <v>1382</v>
      </c>
      <c r="E71" s="11" t="s">
        <v>1389</v>
      </c>
    </row>
    <row r="72" spans="2:6" x14ac:dyDescent="0.45">
      <c r="B72" s="11" t="s">
        <v>1378</v>
      </c>
      <c r="C72" s="11">
        <v>4</v>
      </c>
      <c r="D72" s="11" t="s">
        <v>1386</v>
      </c>
      <c r="E72" s="11" t="s">
        <v>1388</v>
      </c>
    </row>
    <row r="73" spans="2:6" x14ac:dyDescent="0.45">
      <c r="B73" s="11" t="s">
        <v>1378</v>
      </c>
      <c r="C73" s="11">
        <v>4</v>
      </c>
      <c r="D73" s="11" t="s">
        <v>1384</v>
      </c>
      <c r="E73" s="11" t="s">
        <v>1387</v>
      </c>
    </row>
    <row r="74" spans="2:6" x14ac:dyDescent="0.45">
      <c r="B74" s="11" t="s">
        <v>1378</v>
      </c>
      <c r="C74" s="11">
        <v>4</v>
      </c>
      <c r="D74" s="11" t="s">
        <v>1386</v>
      </c>
      <c r="E74" s="11" t="s">
        <v>1385</v>
      </c>
    </row>
    <row r="75" spans="2:6" x14ac:dyDescent="0.45">
      <c r="B75" s="11" t="s">
        <v>1378</v>
      </c>
      <c r="C75" s="11">
        <v>4</v>
      </c>
      <c r="D75" s="11" t="s">
        <v>1384</v>
      </c>
      <c r="E75" s="11" t="s">
        <v>1383</v>
      </c>
    </row>
    <row r="76" spans="2:6" x14ac:dyDescent="0.45">
      <c r="B76" s="11" t="s">
        <v>1378</v>
      </c>
      <c r="C76" s="11">
        <v>4</v>
      </c>
      <c r="D76" s="11" t="s">
        <v>1382</v>
      </c>
      <c r="E76" s="11" t="s">
        <v>1381</v>
      </c>
    </row>
    <row r="77" spans="2:6" s="8" customFormat="1" x14ac:dyDescent="0.45">
      <c r="B77" s="14" t="s">
        <v>1378</v>
      </c>
      <c r="C77" s="14">
        <v>4</v>
      </c>
      <c r="D77" s="14" t="s">
        <v>1380</v>
      </c>
      <c r="E77" s="14" t="s">
        <v>1379</v>
      </c>
      <c r="F77" s="8" t="s">
        <v>1375</v>
      </c>
    </row>
    <row r="78" spans="2:6" x14ac:dyDescent="0.45">
      <c r="B78" s="11"/>
      <c r="C78" s="11"/>
      <c r="D78" s="11"/>
      <c r="E78" s="11"/>
    </row>
    <row r="79" spans="2:6" s="8" customFormat="1" x14ac:dyDescent="0.45">
      <c r="B79" s="14" t="s">
        <v>1378</v>
      </c>
      <c r="C79" s="14">
        <v>5</v>
      </c>
      <c r="D79" s="14" t="s">
        <v>1377</v>
      </c>
      <c r="E79" s="14" t="s">
        <v>1376</v>
      </c>
      <c r="F79" s="8" t="s">
        <v>1375</v>
      </c>
    </row>
  </sheetData>
  <phoneticPr fontId="2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E75F-30ED-41EC-9B67-92B5D716A4FB}">
  <sheetPr>
    <tabColor rgb="FF7030A0"/>
  </sheetPr>
  <dimension ref="A3:P93"/>
  <sheetViews>
    <sheetView zoomScaleNormal="100" zoomScaleSheetLayoutView="75" workbookViewId="0">
      <selection activeCell="G81" sqref="G81"/>
    </sheetView>
  </sheetViews>
  <sheetFormatPr defaultColWidth="8.58203125" defaultRowHeight="17" x14ac:dyDescent="0.45"/>
  <cols>
    <col min="1" max="1" width="9.33203125" style="3" bestFit="1" customWidth="1"/>
    <col min="2" max="2" width="8.5" style="3" bestFit="1" customWidth="1"/>
    <col min="3" max="3" width="11.33203125" style="3" customWidth="1"/>
    <col min="4" max="4" width="20.5" style="3" bestFit="1" customWidth="1"/>
    <col min="5" max="5" width="62.25" style="3" bestFit="1" customWidth="1"/>
    <col min="6" max="6" width="24.58203125" style="3" bestFit="1" customWidth="1"/>
    <col min="7" max="7" width="62.25" style="3" bestFit="1" customWidth="1"/>
    <col min="8" max="8" width="32.33203125" style="3" customWidth="1"/>
    <col min="9" max="12" width="8.58203125" style="3"/>
    <col min="13" max="13" width="9.33203125" style="3" bestFit="1" customWidth="1"/>
    <col min="14" max="14" width="2.08203125" style="3" bestFit="1" customWidth="1"/>
    <col min="15" max="15" width="20.5" style="3" bestFit="1" customWidth="1"/>
    <col min="16" max="16" width="50.83203125" style="3" bestFit="1" customWidth="1"/>
    <col min="17" max="16384" width="8.58203125" style="3"/>
  </cols>
  <sheetData>
    <row r="3" spans="2:5" x14ac:dyDescent="0.45">
      <c r="B3" s="4" t="s">
        <v>1202</v>
      </c>
      <c r="C3" s="4">
        <v>1</v>
      </c>
      <c r="D3" s="4" t="s">
        <v>1246</v>
      </c>
      <c r="E3" s="4" t="s">
        <v>1632</v>
      </c>
    </row>
    <row r="4" spans="2:5" x14ac:dyDescent="0.45">
      <c r="B4" s="4" t="s">
        <v>1202</v>
      </c>
      <c r="C4" s="4">
        <v>1</v>
      </c>
      <c r="D4" s="4" t="s">
        <v>1631</v>
      </c>
      <c r="E4" s="4" t="s">
        <v>1630</v>
      </c>
    </row>
    <row r="5" spans="2:5" x14ac:dyDescent="0.45">
      <c r="B5" s="4" t="s">
        <v>1202</v>
      </c>
      <c r="C5" s="4">
        <v>1</v>
      </c>
      <c r="D5" s="4" t="s">
        <v>1629</v>
      </c>
      <c r="E5" s="4" t="s">
        <v>1628</v>
      </c>
    </row>
    <row r="6" spans="2:5" x14ac:dyDescent="0.45">
      <c r="B6" s="4" t="s">
        <v>1202</v>
      </c>
      <c r="C6" s="4">
        <v>1</v>
      </c>
      <c r="D6" s="4" t="s">
        <v>1525</v>
      </c>
      <c r="E6" s="4" t="s">
        <v>1627</v>
      </c>
    </row>
    <row r="7" spans="2:5" x14ac:dyDescent="0.45">
      <c r="B7" s="4" t="s">
        <v>1202</v>
      </c>
      <c r="C7" s="4">
        <v>1</v>
      </c>
      <c r="D7" s="4" t="s">
        <v>1626</v>
      </c>
      <c r="E7" s="4" t="s">
        <v>1625</v>
      </c>
    </row>
    <row r="8" spans="2:5" x14ac:dyDescent="0.45">
      <c r="B8" s="4" t="s">
        <v>1202</v>
      </c>
      <c r="C8" s="4">
        <v>1</v>
      </c>
      <c r="D8" s="4" t="s">
        <v>1529</v>
      </c>
      <c r="E8" s="4" t="s">
        <v>1624</v>
      </c>
    </row>
    <row r="9" spans="2:5" x14ac:dyDescent="0.45">
      <c r="B9" s="4" t="s">
        <v>1202</v>
      </c>
      <c r="C9" s="4">
        <v>1</v>
      </c>
      <c r="D9" s="4" t="s">
        <v>1325</v>
      </c>
      <c r="E9" s="4" t="s">
        <v>1623</v>
      </c>
    </row>
    <row r="10" spans="2:5" x14ac:dyDescent="0.45">
      <c r="B10" s="4" t="s">
        <v>1202</v>
      </c>
      <c r="C10" s="4">
        <v>1</v>
      </c>
      <c r="D10" s="4" t="s">
        <v>1622</v>
      </c>
      <c r="E10" s="4" t="s">
        <v>1621</v>
      </c>
    </row>
    <row r="11" spans="2:5" x14ac:dyDescent="0.45">
      <c r="B11" s="4" t="s">
        <v>1202</v>
      </c>
      <c r="C11" s="4">
        <v>1</v>
      </c>
      <c r="D11" s="4" t="s">
        <v>1620</v>
      </c>
      <c r="E11" s="4" t="s">
        <v>1619</v>
      </c>
    </row>
    <row r="12" spans="2:5" x14ac:dyDescent="0.45">
      <c r="B12" s="4" t="s">
        <v>1202</v>
      </c>
      <c r="C12" s="4">
        <v>1</v>
      </c>
      <c r="D12" s="4" t="s">
        <v>1618</v>
      </c>
      <c r="E12" s="4" t="s">
        <v>1617</v>
      </c>
    </row>
    <row r="13" spans="2:5" x14ac:dyDescent="0.45">
      <c r="B13" s="4" t="s">
        <v>1202</v>
      </c>
      <c r="C13" s="4">
        <v>1</v>
      </c>
      <c r="D13" s="4" t="s">
        <v>1616</v>
      </c>
      <c r="E13" s="4" t="s">
        <v>1615</v>
      </c>
    </row>
    <row r="14" spans="2:5" x14ac:dyDescent="0.45">
      <c r="B14" s="4" t="s">
        <v>1202</v>
      </c>
      <c r="C14" s="4">
        <v>1</v>
      </c>
      <c r="D14" s="4" t="s">
        <v>1614</v>
      </c>
      <c r="E14" s="4" t="s">
        <v>1613</v>
      </c>
    </row>
    <row r="15" spans="2:5" x14ac:dyDescent="0.45">
      <c r="B15" s="4" t="s">
        <v>1202</v>
      </c>
      <c r="C15" s="4">
        <v>1</v>
      </c>
      <c r="D15" s="4" t="s">
        <v>1260</v>
      </c>
      <c r="E15" s="4" t="s">
        <v>1612</v>
      </c>
    </row>
    <row r="16" spans="2:5" x14ac:dyDescent="0.45">
      <c r="B16" s="4" t="s">
        <v>1202</v>
      </c>
      <c r="C16" s="4">
        <v>1</v>
      </c>
      <c r="D16" s="4" t="s">
        <v>1541</v>
      </c>
      <c r="E16" s="4" t="s">
        <v>1611</v>
      </c>
    </row>
    <row r="17" spans="2:5" x14ac:dyDescent="0.45">
      <c r="B17" s="4" t="s">
        <v>1202</v>
      </c>
      <c r="C17" s="4">
        <v>1</v>
      </c>
      <c r="D17" s="4" t="s">
        <v>1539</v>
      </c>
      <c r="E17" s="4" t="s">
        <v>1610</v>
      </c>
    </row>
    <row r="18" spans="2:5" x14ac:dyDescent="0.45">
      <c r="B18" s="4" t="s">
        <v>1202</v>
      </c>
      <c r="C18" s="4">
        <v>1</v>
      </c>
      <c r="D18" s="4" t="s">
        <v>1546</v>
      </c>
      <c r="E18" s="4" t="s">
        <v>1609</v>
      </c>
    </row>
    <row r="19" spans="2:5" x14ac:dyDescent="0.45">
      <c r="B19" s="4" t="s">
        <v>1202</v>
      </c>
      <c r="C19" s="4">
        <v>1</v>
      </c>
      <c r="D19" s="4" t="s">
        <v>1608</v>
      </c>
      <c r="E19" s="4" t="s">
        <v>1607</v>
      </c>
    </row>
    <row r="20" spans="2:5" x14ac:dyDescent="0.45">
      <c r="B20" s="4" t="s">
        <v>1202</v>
      </c>
      <c r="C20" s="4">
        <v>1</v>
      </c>
      <c r="D20" s="4" t="s">
        <v>1539</v>
      </c>
      <c r="E20" s="4" t="s">
        <v>1606</v>
      </c>
    </row>
    <row r="21" spans="2:5" x14ac:dyDescent="0.45">
      <c r="B21" s="4" t="s">
        <v>1202</v>
      </c>
      <c r="C21" s="4">
        <v>1</v>
      </c>
      <c r="D21" s="4" t="s">
        <v>1604</v>
      </c>
      <c r="E21" s="4" t="s">
        <v>1605</v>
      </c>
    </row>
    <row r="22" spans="2:5" x14ac:dyDescent="0.45">
      <c r="B22" s="4" t="s">
        <v>1202</v>
      </c>
      <c r="C22" s="4">
        <v>1</v>
      </c>
      <c r="D22" s="4" t="s">
        <v>1604</v>
      </c>
      <c r="E22" s="4" t="s">
        <v>1603</v>
      </c>
    </row>
    <row r="23" spans="2:5" x14ac:dyDescent="0.45">
      <c r="B23" s="4" t="s">
        <v>1202</v>
      </c>
      <c r="C23" s="4">
        <v>1</v>
      </c>
      <c r="D23" s="4" t="s">
        <v>1602</v>
      </c>
      <c r="E23" s="4" t="s">
        <v>1601</v>
      </c>
    </row>
    <row r="24" spans="2:5" x14ac:dyDescent="0.45">
      <c r="B24" s="4" t="s">
        <v>1202</v>
      </c>
      <c r="C24" s="4">
        <v>1</v>
      </c>
      <c r="D24" s="4" t="s">
        <v>1600</v>
      </c>
      <c r="E24" s="4" t="s">
        <v>1599</v>
      </c>
    </row>
    <row r="25" spans="2:5" x14ac:dyDescent="0.45">
      <c r="B25" s="4" t="s">
        <v>1202</v>
      </c>
      <c r="C25" s="4">
        <v>1</v>
      </c>
      <c r="D25" s="4" t="s">
        <v>1598</v>
      </c>
      <c r="E25" s="4" t="s">
        <v>1597</v>
      </c>
    </row>
    <row r="26" spans="2:5" x14ac:dyDescent="0.45">
      <c r="B26" s="4" t="s">
        <v>1202</v>
      </c>
      <c r="C26" s="4">
        <v>1</v>
      </c>
      <c r="D26" s="4" t="s">
        <v>1596</v>
      </c>
      <c r="E26" s="4" t="s">
        <v>1595</v>
      </c>
    </row>
    <row r="27" spans="2:5" x14ac:dyDescent="0.45">
      <c r="B27" s="4" t="s">
        <v>1202</v>
      </c>
      <c r="C27" s="4">
        <v>1</v>
      </c>
      <c r="D27" s="4" t="s">
        <v>1592</v>
      </c>
      <c r="E27" s="4" t="s">
        <v>1594</v>
      </c>
    </row>
    <row r="28" spans="2:5" x14ac:dyDescent="0.45">
      <c r="B28" s="4" t="s">
        <v>1202</v>
      </c>
      <c r="C28" s="4">
        <v>1</v>
      </c>
      <c r="D28" s="4" t="s">
        <v>1592</v>
      </c>
      <c r="E28" s="4" t="s">
        <v>1593</v>
      </c>
    </row>
    <row r="29" spans="2:5" x14ac:dyDescent="0.45">
      <c r="B29" s="4" t="s">
        <v>1202</v>
      </c>
      <c r="C29" s="4">
        <v>1</v>
      </c>
      <c r="D29" s="4" t="s">
        <v>1592</v>
      </c>
      <c r="E29" s="4" t="s">
        <v>1591</v>
      </c>
    </row>
    <row r="30" spans="2:5" x14ac:dyDescent="0.45">
      <c r="B30" s="4"/>
      <c r="C30" s="4"/>
      <c r="D30" s="4"/>
      <c r="E30" s="4"/>
    </row>
    <row r="31" spans="2:5" x14ac:dyDescent="0.45">
      <c r="B31" s="4" t="s">
        <v>1202</v>
      </c>
      <c r="C31" s="4">
        <v>2</v>
      </c>
      <c r="D31" s="4" t="s">
        <v>1590</v>
      </c>
      <c r="E31" s="4" t="s">
        <v>1589</v>
      </c>
    </row>
    <row r="32" spans="2:5" x14ac:dyDescent="0.45">
      <c r="B32" s="4" t="s">
        <v>1202</v>
      </c>
      <c r="C32" s="4">
        <v>2</v>
      </c>
      <c r="D32" s="4" t="s">
        <v>1588</v>
      </c>
      <c r="E32" s="4" t="s">
        <v>1587</v>
      </c>
    </row>
    <row r="33" spans="2:5" x14ac:dyDescent="0.45">
      <c r="B33" s="4" t="s">
        <v>1202</v>
      </c>
      <c r="C33" s="4">
        <v>2</v>
      </c>
      <c r="D33" s="4" t="s">
        <v>1586</v>
      </c>
      <c r="E33" s="4" t="s">
        <v>1585</v>
      </c>
    </row>
    <row r="34" spans="2:5" x14ac:dyDescent="0.45">
      <c r="B34" s="4" t="s">
        <v>1202</v>
      </c>
      <c r="C34" s="4">
        <v>2</v>
      </c>
      <c r="D34" s="4" t="s">
        <v>1584</v>
      </c>
      <c r="E34" s="4" t="s">
        <v>1583</v>
      </c>
    </row>
    <row r="35" spans="2:5" x14ac:dyDescent="0.45">
      <c r="B35" s="4" t="s">
        <v>1202</v>
      </c>
      <c r="C35" s="4">
        <v>2</v>
      </c>
      <c r="D35" s="4" t="s">
        <v>1581</v>
      </c>
      <c r="E35" s="4" t="s">
        <v>1582</v>
      </c>
    </row>
    <row r="36" spans="2:5" x14ac:dyDescent="0.45">
      <c r="B36" s="4" t="s">
        <v>1202</v>
      </c>
      <c r="C36" s="4">
        <v>2</v>
      </c>
      <c r="D36" s="4" t="s">
        <v>1581</v>
      </c>
      <c r="E36" s="4" t="s">
        <v>1580</v>
      </c>
    </row>
    <row r="37" spans="2:5" x14ac:dyDescent="0.45">
      <c r="B37" s="4" t="s">
        <v>1202</v>
      </c>
      <c r="C37" s="4">
        <v>2</v>
      </c>
      <c r="D37" s="4" t="s">
        <v>1579</v>
      </c>
      <c r="E37" s="4" t="s">
        <v>1578</v>
      </c>
    </row>
    <row r="38" spans="2:5" x14ac:dyDescent="0.45">
      <c r="B38" s="4" t="s">
        <v>1202</v>
      </c>
      <c r="C38" s="4">
        <v>2</v>
      </c>
      <c r="D38" s="4" t="s">
        <v>1503</v>
      </c>
      <c r="E38" s="4" t="s">
        <v>1577</v>
      </c>
    </row>
    <row r="39" spans="2:5" x14ac:dyDescent="0.45">
      <c r="B39" s="4" t="s">
        <v>1202</v>
      </c>
      <c r="C39" s="4">
        <v>2</v>
      </c>
      <c r="D39" s="4" t="s">
        <v>1576</v>
      </c>
      <c r="E39" s="4" t="s">
        <v>1575</v>
      </c>
    </row>
    <row r="40" spans="2:5" x14ac:dyDescent="0.45">
      <c r="B40" s="4" t="s">
        <v>1202</v>
      </c>
      <c r="C40" s="4">
        <v>2</v>
      </c>
      <c r="D40" s="4" t="s">
        <v>1574</v>
      </c>
      <c r="E40" s="4" t="s">
        <v>1573</v>
      </c>
    </row>
    <row r="41" spans="2:5" x14ac:dyDescent="0.45">
      <c r="B41" s="4" t="s">
        <v>1202</v>
      </c>
      <c r="C41" s="4">
        <v>2</v>
      </c>
      <c r="D41" s="4" t="s">
        <v>1572</v>
      </c>
      <c r="E41" s="4" t="s">
        <v>1571</v>
      </c>
    </row>
    <row r="42" spans="2:5" x14ac:dyDescent="0.45">
      <c r="B42" s="4" t="s">
        <v>1202</v>
      </c>
      <c r="C42" s="4">
        <v>2</v>
      </c>
      <c r="D42" s="4" t="s">
        <v>1539</v>
      </c>
      <c r="E42" s="4" t="s">
        <v>1570</v>
      </c>
    </row>
    <row r="43" spans="2:5" x14ac:dyDescent="0.45">
      <c r="B43" s="4" t="s">
        <v>1202</v>
      </c>
      <c r="C43" s="4">
        <v>2</v>
      </c>
      <c r="D43" s="4" t="s">
        <v>1569</v>
      </c>
      <c r="E43" s="4" t="s">
        <v>1568</v>
      </c>
    </row>
    <row r="44" spans="2:5" x14ac:dyDescent="0.45">
      <c r="B44" s="4" t="s">
        <v>1202</v>
      </c>
      <c r="C44" s="4">
        <v>2</v>
      </c>
      <c r="D44" s="4" t="s">
        <v>1503</v>
      </c>
      <c r="E44" s="4" t="s">
        <v>1567</v>
      </c>
    </row>
    <row r="45" spans="2:5" x14ac:dyDescent="0.45">
      <c r="B45" s="4" t="s">
        <v>1202</v>
      </c>
      <c r="C45" s="4">
        <v>2</v>
      </c>
      <c r="D45" s="4" t="s">
        <v>1434</v>
      </c>
      <c r="E45" s="4" t="s">
        <v>1566</v>
      </c>
    </row>
    <row r="46" spans="2:5" x14ac:dyDescent="0.45">
      <c r="B46" s="4" t="s">
        <v>1202</v>
      </c>
      <c r="C46" s="4">
        <v>2</v>
      </c>
      <c r="D46" s="4" t="s">
        <v>1432</v>
      </c>
      <c r="E46" s="4" t="s">
        <v>1565</v>
      </c>
    </row>
    <row r="47" spans="2:5" x14ac:dyDescent="0.45">
      <c r="B47" s="4" t="s">
        <v>1202</v>
      </c>
      <c r="C47" s="4">
        <v>2</v>
      </c>
      <c r="D47" s="4" t="s">
        <v>1564</v>
      </c>
      <c r="E47" s="4" t="s">
        <v>1563</v>
      </c>
    </row>
    <row r="48" spans="2:5" x14ac:dyDescent="0.45">
      <c r="B48" s="4" t="s">
        <v>1202</v>
      </c>
      <c r="C48" s="4">
        <v>2</v>
      </c>
      <c r="D48" s="4" t="s">
        <v>1562</v>
      </c>
      <c r="E48" s="4" t="s">
        <v>1561</v>
      </c>
    </row>
    <row r="49" spans="2:5" x14ac:dyDescent="0.45">
      <c r="B49" s="4" t="s">
        <v>1202</v>
      </c>
      <c r="C49" s="4">
        <v>2</v>
      </c>
      <c r="D49" s="4" t="s">
        <v>1560</v>
      </c>
      <c r="E49" s="4" t="s">
        <v>1559</v>
      </c>
    </row>
    <row r="50" spans="2:5" x14ac:dyDescent="0.45">
      <c r="B50" s="4" t="s">
        <v>1202</v>
      </c>
      <c r="C50" s="4">
        <v>2</v>
      </c>
      <c r="D50" s="4" t="s">
        <v>1558</v>
      </c>
      <c r="E50" s="4" t="s">
        <v>1557</v>
      </c>
    </row>
    <row r="51" spans="2:5" x14ac:dyDescent="0.45">
      <c r="B51" s="4" t="s">
        <v>1202</v>
      </c>
      <c r="C51" s="4">
        <v>2</v>
      </c>
      <c r="D51" s="4" t="s">
        <v>1262</v>
      </c>
      <c r="E51" s="4" t="s">
        <v>1556</v>
      </c>
    </row>
    <row r="52" spans="2:5" x14ac:dyDescent="0.45">
      <c r="B52" s="4" t="s">
        <v>1202</v>
      </c>
      <c r="C52" s="4">
        <v>2</v>
      </c>
      <c r="D52" s="4" t="s">
        <v>1553</v>
      </c>
      <c r="E52" s="4" t="s">
        <v>1555</v>
      </c>
    </row>
    <row r="53" spans="2:5" x14ac:dyDescent="0.45">
      <c r="B53" s="4" t="s">
        <v>1202</v>
      </c>
      <c r="C53" s="4">
        <v>2</v>
      </c>
      <c r="D53" s="4" t="s">
        <v>1553</v>
      </c>
      <c r="E53" s="4" t="s">
        <v>1554</v>
      </c>
    </row>
    <row r="54" spans="2:5" x14ac:dyDescent="0.45">
      <c r="B54" s="4" t="s">
        <v>1202</v>
      </c>
      <c r="C54" s="4">
        <v>2</v>
      </c>
      <c r="D54" s="4" t="s">
        <v>1553</v>
      </c>
      <c r="E54" s="4" t="s">
        <v>1552</v>
      </c>
    </row>
    <row r="55" spans="2:5" x14ac:dyDescent="0.45">
      <c r="B55" s="4" t="s">
        <v>1202</v>
      </c>
      <c r="C55" s="4">
        <v>2</v>
      </c>
      <c r="D55" s="4" t="s">
        <v>1549</v>
      </c>
      <c r="E55" s="4" t="s">
        <v>1551</v>
      </c>
    </row>
    <row r="56" spans="2:5" x14ac:dyDescent="0.45">
      <c r="B56" s="4" t="s">
        <v>1202</v>
      </c>
      <c r="C56" s="4">
        <v>2</v>
      </c>
      <c r="D56" s="4" t="s">
        <v>1549</v>
      </c>
      <c r="E56" s="4" t="s">
        <v>1550</v>
      </c>
    </row>
    <row r="57" spans="2:5" x14ac:dyDescent="0.45">
      <c r="B57" s="4" t="s">
        <v>1202</v>
      </c>
      <c r="C57" s="4">
        <v>2</v>
      </c>
      <c r="D57" s="4" t="s">
        <v>1549</v>
      </c>
      <c r="E57" s="4" t="s">
        <v>1548</v>
      </c>
    </row>
    <row r="58" spans="2:5" x14ac:dyDescent="0.45">
      <c r="B58" s="4"/>
      <c r="C58" s="4"/>
      <c r="D58" s="4"/>
      <c r="E58" s="4"/>
    </row>
    <row r="59" spans="2:5" x14ac:dyDescent="0.45">
      <c r="B59" s="4" t="s">
        <v>1202</v>
      </c>
      <c r="C59" s="4">
        <v>3</v>
      </c>
      <c r="D59" s="4" t="s">
        <v>1503</v>
      </c>
      <c r="E59" s="4" t="s">
        <v>1547</v>
      </c>
    </row>
    <row r="60" spans="2:5" x14ac:dyDescent="0.45">
      <c r="B60" s="4" t="s">
        <v>1202</v>
      </c>
      <c r="C60" s="4">
        <v>3</v>
      </c>
      <c r="D60" s="4" t="s">
        <v>1546</v>
      </c>
      <c r="E60" s="4" t="s">
        <v>1545</v>
      </c>
    </row>
    <row r="61" spans="2:5" x14ac:dyDescent="0.45">
      <c r="B61" s="4" t="s">
        <v>1202</v>
      </c>
      <c r="C61" s="4">
        <v>3</v>
      </c>
      <c r="D61" s="4" t="s">
        <v>1544</v>
      </c>
      <c r="E61" s="4" t="s">
        <v>1543</v>
      </c>
    </row>
    <row r="62" spans="2:5" x14ac:dyDescent="0.45">
      <c r="B62" s="4" t="s">
        <v>1202</v>
      </c>
      <c r="C62" s="4">
        <v>3</v>
      </c>
      <c r="D62" s="4" t="s">
        <v>1539</v>
      </c>
      <c r="E62" s="4" t="s">
        <v>1542</v>
      </c>
    </row>
    <row r="63" spans="2:5" x14ac:dyDescent="0.45">
      <c r="B63" s="4" t="s">
        <v>1202</v>
      </c>
      <c r="C63" s="4">
        <v>3</v>
      </c>
      <c r="D63" s="4" t="s">
        <v>1541</v>
      </c>
      <c r="E63" s="4" t="s">
        <v>1540</v>
      </c>
    </row>
    <row r="64" spans="2:5" x14ac:dyDescent="0.45">
      <c r="B64" s="4" t="s">
        <v>1202</v>
      </c>
      <c r="C64" s="4">
        <v>3</v>
      </c>
      <c r="D64" s="4" t="s">
        <v>1539</v>
      </c>
      <c r="E64" s="4" t="s">
        <v>1538</v>
      </c>
    </row>
    <row r="65" spans="1:6" x14ac:dyDescent="0.45">
      <c r="B65" s="4" t="s">
        <v>1202</v>
      </c>
      <c r="C65" s="4">
        <v>3</v>
      </c>
      <c r="D65" s="4" t="s">
        <v>1537</v>
      </c>
      <c r="E65" s="4" t="s">
        <v>1536</v>
      </c>
    </row>
    <row r="66" spans="1:6" x14ac:dyDescent="0.45">
      <c r="B66" s="4" t="s">
        <v>1202</v>
      </c>
      <c r="C66" s="4">
        <v>3</v>
      </c>
      <c r="D66" s="4" t="s">
        <v>1535</v>
      </c>
      <c r="E66" s="4" t="s">
        <v>1534</v>
      </c>
    </row>
    <row r="67" spans="1:6" x14ac:dyDescent="0.45">
      <c r="B67" s="4" t="s">
        <v>1202</v>
      </c>
      <c r="C67" s="4">
        <v>3</v>
      </c>
      <c r="D67" s="4" t="s">
        <v>1533</v>
      </c>
      <c r="E67" s="4" t="s">
        <v>1532</v>
      </c>
    </row>
    <row r="68" spans="1:6" x14ac:dyDescent="0.45">
      <c r="B68" s="4" t="s">
        <v>1202</v>
      </c>
      <c r="C68" s="4">
        <v>3</v>
      </c>
      <c r="D68" s="4" t="s">
        <v>1529</v>
      </c>
      <c r="E68" s="4" t="s">
        <v>1528</v>
      </c>
    </row>
    <row r="69" spans="1:6" x14ac:dyDescent="0.45">
      <c r="B69" s="4" t="s">
        <v>1202</v>
      </c>
      <c r="C69" s="4">
        <v>3</v>
      </c>
      <c r="D69" s="4" t="s">
        <v>1525</v>
      </c>
      <c r="E69" s="4" t="s">
        <v>1526</v>
      </c>
    </row>
    <row r="70" spans="1:6" x14ac:dyDescent="0.45">
      <c r="B70" s="4" t="s">
        <v>1202</v>
      </c>
      <c r="C70" s="4">
        <v>3</v>
      </c>
      <c r="D70" s="4" t="s">
        <v>1531</v>
      </c>
      <c r="E70" s="4" t="s">
        <v>1530</v>
      </c>
    </row>
    <row r="71" spans="1:6" x14ac:dyDescent="0.45">
      <c r="B71" s="4" t="s">
        <v>1202</v>
      </c>
      <c r="C71" s="4">
        <v>3</v>
      </c>
      <c r="D71" s="4" t="s">
        <v>1529</v>
      </c>
      <c r="E71" s="4" t="s">
        <v>1528</v>
      </c>
    </row>
    <row r="72" spans="1:6" x14ac:dyDescent="0.45">
      <c r="B72" s="4" t="s">
        <v>1202</v>
      </c>
      <c r="C72" s="4">
        <v>3</v>
      </c>
      <c r="D72" s="4" t="s">
        <v>1527</v>
      </c>
      <c r="E72" s="4" t="s">
        <v>1526</v>
      </c>
    </row>
    <row r="73" spans="1:6" x14ac:dyDescent="0.45">
      <c r="B73" s="4" t="s">
        <v>1202</v>
      </c>
      <c r="C73" s="4">
        <v>3</v>
      </c>
      <c r="D73" s="4" t="s">
        <v>1525</v>
      </c>
      <c r="E73" s="4" t="s">
        <v>1524</v>
      </c>
    </row>
    <row r="74" spans="1:6" x14ac:dyDescent="0.45">
      <c r="B74" s="4" t="s">
        <v>1202</v>
      </c>
      <c r="C74" s="4">
        <v>3</v>
      </c>
      <c r="D74" s="4" t="s">
        <v>1523</v>
      </c>
      <c r="E74" s="4" t="s">
        <v>1522</v>
      </c>
    </row>
    <row r="75" spans="1:6" x14ac:dyDescent="0.45">
      <c r="B75" s="4" t="s">
        <v>1202</v>
      </c>
      <c r="C75" s="4">
        <v>3</v>
      </c>
      <c r="D75" s="4" t="s">
        <v>1521</v>
      </c>
      <c r="E75" s="4" t="s">
        <v>1520</v>
      </c>
    </row>
    <row r="76" spans="1:6" x14ac:dyDescent="0.45">
      <c r="B76" s="4" t="s">
        <v>1202</v>
      </c>
      <c r="C76" s="4">
        <v>3</v>
      </c>
      <c r="D76" s="4" t="s">
        <v>1519</v>
      </c>
      <c r="E76" s="4" t="s">
        <v>1518</v>
      </c>
    </row>
    <row r="77" spans="1:6" x14ac:dyDescent="0.45">
      <c r="B77" s="4" t="s">
        <v>1202</v>
      </c>
      <c r="C77" s="4">
        <v>3</v>
      </c>
      <c r="D77" s="4" t="s">
        <v>1515</v>
      </c>
      <c r="E77" s="4" t="s">
        <v>1517</v>
      </c>
    </row>
    <row r="78" spans="1:6" x14ac:dyDescent="0.45">
      <c r="B78" s="4" t="s">
        <v>1202</v>
      </c>
      <c r="C78" s="4">
        <v>3</v>
      </c>
      <c r="D78" s="4" t="s">
        <v>1515</v>
      </c>
      <c r="E78" s="4" t="s">
        <v>1516</v>
      </c>
    </row>
    <row r="79" spans="1:6" x14ac:dyDescent="0.45">
      <c r="A79" s="10"/>
      <c r="B79" s="4" t="s">
        <v>1202</v>
      </c>
      <c r="C79" s="4">
        <v>3</v>
      </c>
      <c r="D79" s="4" t="s">
        <v>1515</v>
      </c>
      <c r="E79" s="4" t="s">
        <v>1514</v>
      </c>
    </row>
    <row r="80" spans="1:6" x14ac:dyDescent="0.45">
      <c r="A80" s="10"/>
      <c r="B80" s="5" t="s">
        <v>1202</v>
      </c>
      <c r="C80" s="5">
        <v>3</v>
      </c>
      <c r="D80" s="5" t="s">
        <v>1513</v>
      </c>
      <c r="E80" s="5" t="s">
        <v>1512</v>
      </c>
      <c r="F80" s="8" t="s">
        <v>1375</v>
      </c>
    </row>
    <row r="81" spans="1:16" x14ac:dyDescent="0.45">
      <c r="A81" s="10"/>
      <c r="B81" s="4"/>
      <c r="C81" s="4"/>
      <c r="D81" s="4"/>
      <c r="E81" s="4"/>
      <c r="F81" s="7"/>
    </row>
    <row r="82" spans="1:16" s="9" customFormat="1" x14ac:dyDescent="0.45">
      <c r="A82" s="10"/>
      <c r="B82" s="4" t="s">
        <v>1202</v>
      </c>
      <c r="C82" s="4">
        <v>4</v>
      </c>
      <c r="D82" s="4" t="s">
        <v>1511</v>
      </c>
      <c r="E82" s="4" t="s">
        <v>1510</v>
      </c>
      <c r="F82" s="7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x14ac:dyDescent="0.45">
      <c r="A83" s="10"/>
      <c r="B83" s="4" t="s">
        <v>1202</v>
      </c>
      <c r="C83" s="4">
        <v>4</v>
      </c>
      <c r="D83" s="4" t="s">
        <v>1509</v>
      </c>
      <c r="E83" s="4" t="s">
        <v>1508</v>
      </c>
      <c r="F83" s="7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x14ac:dyDescent="0.45">
      <c r="A84" s="10"/>
      <c r="B84" s="4" t="s">
        <v>1202</v>
      </c>
      <c r="C84" s="4">
        <v>4</v>
      </c>
      <c r="D84" s="4" t="s">
        <v>1507</v>
      </c>
      <c r="E84" s="4" t="s">
        <v>1506</v>
      </c>
      <c r="F84" s="7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x14ac:dyDescent="0.45">
      <c r="A85" s="10"/>
      <c r="B85" s="4" t="s">
        <v>1202</v>
      </c>
      <c r="C85" s="4">
        <v>4</v>
      </c>
      <c r="D85" s="4" t="s">
        <v>1505</v>
      </c>
      <c r="E85" s="4" t="s">
        <v>1504</v>
      </c>
      <c r="F85" s="7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x14ac:dyDescent="0.45">
      <c r="A86" s="10"/>
      <c r="B86" s="4" t="s">
        <v>1202</v>
      </c>
      <c r="C86" s="4">
        <v>4</v>
      </c>
      <c r="D86" s="4" t="s">
        <v>1503</v>
      </c>
      <c r="E86" s="4" t="s">
        <v>1502</v>
      </c>
      <c r="F86" s="7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x14ac:dyDescent="0.45">
      <c r="A87" s="10"/>
      <c r="B87" s="4" t="s">
        <v>1202</v>
      </c>
      <c r="C87" s="4">
        <v>4</v>
      </c>
      <c r="D87" s="4" t="s">
        <v>1501</v>
      </c>
      <c r="E87" s="4" t="s">
        <v>1500</v>
      </c>
      <c r="F87" s="7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x14ac:dyDescent="0.45">
      <c r="A88" s="10"/>
      <c r="B88" s="4" t="s">
        <v>1202</v>
      </c>
      <c r="C88" s="4">
        <v>4</v>
      </c>
      <c r="D88" s="4" t="s">
        <v>1499</v>
      </c>
      <c r="E88" s="4" t="s">
        <v>1498</v>
      </c>
      <c r="F88" s="7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x14ac:dyDescent="0.45">
      <c r="A89" s="10"/>
      <c r="B89" s="5" t="s">
        <v>1202</v>
      </c>
      <c r="C89" s="5">
        <v>4</v>
      </c>
      <c r="D89" s="5" t="s">
        <v>1497</v>
      </c>
      <c r="E89" s="5" t="s">
        <v>1496</v>
      </c>
      <c r="F89" s="8" t="s">
        <v>1375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x14ac:dyDescent="0.45">
      <c r="A90" s="10"/>
      <c r="B90" s="4"/>
      <c r="C90" s="4"/>
      <c r="D90" s="4"/>
      <c r="E90" s="4"/>
      <c r="F90" s="7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s="9" customFormat="1" x14ac:dyDescent="0.45">
      <c r="A91" s="10"/>
      <c r="B91" s="5" t="s">
        <v>1202</v>
      </c>
      <c r="C91" s="5">
        <v>5</v>
      </c>
      <c r="D91" s="5" t="s">
        <v>1495</v>
      </c>
      <c r="E91" s="5" t="s">
        <v>1494</v>
      </c>
      <c r="F91" s="8" t="s">
        <v>1375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x14ac:dyDescent="0.4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s="9" customFormat="1" x14ac:dyDescent="0.4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D540-0ABA-40EF-B7B3-1A464B6E4C3A}">
  <sheetPr>
    <tabColor rgb="FF7030A0"/>
  </sheetPr>
  <dimension ref="B3:F57"/>
  <sheetViews>
    <sheetView topLeftCell="A7" zoomScaleNormal="100" zoomScaleSheetLayoutView="75" workbookViewId="0">
      <selection activeCell="D25" sqref="D25"/>
    </sheetView>
  </sheetViews>
  <sheetFormatPr defaultColWidth="8.58203125" defaultRowHeight="17" x14ac:dyDescent="0.45"/>
  <cols>
    <col min="1" max="3" width="8.58203125" style="7"/>
    <col min="4" max="4" width="17.75" style="7" bestFit="1" customWidth="1"/>
    <col min="5" max="5" width="47.5" style="7" bestFit="1" customWidth="1"/>
    <col min="6" max="6" width="15.75" style="7" bestFit="1" customWidth="1"/>
    <col min="7" max="16384" width="8.58203125" style="7"/>
  </cols>
  <sheetData>
    <row r="3" spans="2:5" x14ac:dyDescent="0.45">
      <c r="B3" s="11" t="s">
        <v>1639</v>
      </c>
      <c r="C3" s="11">
        <v>1</v>
      </c>
      <c r="D3" s="11" t="s">
        <v>1652</v>
      </c>
      <c r="E3" s="11" t="s">
        <v>1709</v>
      </c>
    </row>
    <row r="4" spans="2:5" x14ac:dyDescent="0.45">
      <c r="B4" s="11" t="s">
        <v>1639</v>
      </c>
      <c r="C4" s="11">
        <v>1</v>
      </c>
      <c r="D4" s="11" t="s">
        <v>1650</v>
      </c>
      <c r="E4" s="11" t="s">
        <v>1708</v>
      </c>
    </row>
    <row r="5" spans="2:5" x14ac:dyDescent="0.45">
      <c r="B5" s="11" t="s">
        <v>1639</v>
      </c>
      <c r="C5" s="11">
        <v>1</v>
      </c>
      <c r="D5" s="11" t="s">
        <v>1648</v>
      </c>
      <c r="E5" s="11" t="s">
        <v>1707</v>
      </c>
    </row>
    <row r="6" spans="2:5" x14ac:dyDescent="0.45">
      <c r="B6" s="11" t="s">
        <v>1639</v>
      </c>
      <c r="C6" s="11">
        <v>1</v>
      </c>
      <c r="D6" s="11" t="s">
        <v>1646</v>
      </c>
      <c r="E6" s="11" t="s">
        <v>1706</v>
      </c>
    </row>
    <row r="7" spans="2:5" x14ac:dyDescent="0.45">
      <c r="B7" s="11" t="s">
        <v>1639</v>
      </c>
      <c r="C7" s="11">
        <v>1</v>
      </c>
      <c r="D7" s="11" t="s">
        <v>1705</v>
      </c>
      <c r="E7" s="11" t="s">
        <v>1704</v>
      </c>
    </row>
    <row r="8" spans="2:5" x14ac:dyDescent="0.45">
      <c r="B8" s="11"/>
      <c r="C8" s="11"/>
      <c r="D8" s="11"/>
      <c r="E8" s="11"/>
    </row>
    <row r="9" spans="2:5" x14ac:dyDescent="0.45">
      <c r="B9" s="11" t="s">
        <v>1639</v>
      </c>
      <c r="C9" s="11">
        <v>2</v>
      </c>
      <c r="D9" s="11" t="s">
        <v>1650</v>
      </c>
      <c r="E9" s="11" t="s">
        <v>1703</v>
      </c>
    </row>
    <row r="10" spans="2:5" x14ac:dyDescent="0.45">
      <c r="B10" s="11" t="s">
        <v>1639</v>
      </c>
      <c r="C10" s="11">
        <v>2</v>
      </c>
      <c r="D10" s="11" t="s">
        <v>1648</v>
      </c>
      <c r="E10" s="11" t="s">
        <v>1702</v>
      </c>
    </row>
    <row r="11" spans="2:5" x14ac:dyDescent="0.45">
      <c r="B11" s="11" t="s">
        <v>1639</v>
      </c>
      <c r="C11" s="11">
        <v>2</v>
      </c>
      <c r="D11" s="11" t="s">
        <v>1646</v>
      </c>
      <c r="E11" s="11" t="s">
        <v>1701</v>
      </c>
    </row>
    <row r="12" spans="2:5" x14ac:dyDescent="0.45">
      <c r="B12" s="11" t="s">
        <v>1639</v>
      </c>
      <c r="C12" s="11">
        <v>2</v>
      </c>
      <c r="D12" s="11" t="s">
        <v>1248</v>
      </c>
      <c r="E12" s="11" t="s">
        <v>1700</v>
      </c>
    </row>
    <row r="13" spans="2:5" x14ac:dyDescent="0.45">
      <c r="B13" s="11" t="s">
        <v>1639</v>
      </c>
      <c r="C13" s="11">
        <v>2</v>
      </c>
      <c r="D13" s="11" t="s">
        <v>1652</v>
      </c>
      <c r="E13" s="11" t="s">
        <v>1699</v>
      </c>
    </row>
    <row r="14" spans="2:5" x14ac:dyDescent="0.45">
      <c r="B14" s="11" t="s">
        <v>1639</v>
      </c>
      <c r="C14" s="11">
        <v>2</v>
      </c>
      <c r="D14" s="11" t="s">
        <v>1657</v>
      </c>
      <c r="E14" s="11" t="s">
        <v>1698</v>
      </c>
    </row>
    <row r="15" spans="2:5" x14ac:dyDescent="0.45">
      <c r="B15" s="11" t="s">
        <v>1639</v>
      </c>
      <c r="C15" s="11">
        <v>2</v>
      </c>
      <c r="D15" s="11" t="s">
        <v>1256</v>
      </c>
      <c r="E15" s="11" t="s">
        <v>1697</v>
      </c>
    </row>
    <row r="16" spans="2:5" x14ac:dyDescent="0.45">
      <c r="B16" s="11" t="s">
        <v>1639</v>
      </c>
      <c r="C16" s="11">
        <v>2</v>
      </c>
      <c r="D16" s="11" t="s">
        <v>1255</v>
      </c>
      <c r="E16" s="11" t="s">
        <v>1696</v>
      </c>
    </row>
    <row r="17" spans="2:5" x14ac:dyDescent="0.45">
      <c r="B17" s="11" t="s">
        <v>1639</v>
      </c>
      <c r="C17" s="11">
        <v>2</v>
      </c>
      <c r="D17" s="11" t="s">
        <v>1254</v>
      </c>
      <c r="E17" s="11" t="s">
        <v>1695</v>
      </c>
    </row>
    <row r="18" spans="2:5" x14ac:dyDescent="0.45">
      <c r="B18" s="11" t="s">
        <v>1639</v>
      </c>
      <c r="C18" s="11">
        <v>2</v>
      </c>
      <c r="D18" s="11" t="s">
        <v>1694</v>
      </c>
      <c r="E18" s="11" t="s">
        <v>1693</v>
      </c>
    </row>
    <row r="19" spans="2:5" x14ac:dyDescent="0.45">
      <c r="B19" s="11" t="s">
        <v>1639</v>
      </c>
      <c r="C19" s="11">
        <v>2</v>
      </c>
      <c r="D19" s="11" t="s">
        <v>1665</v>
      </c>
      <c r="E19" s="11" t="s">
        <v>1692</v>
      </c>
    </row>
    <row r="20" spans="2:5" x14ac:dyDescent="0.45">
      <c r="B20" s="11"/>
      <c r="C20" s="11"/>
      <c r="D20" s="11"/>
      <c r="E20" s="11"/>
    </row>
    <row r="21" spans="2:5" x14ac:dyDescent="0.45">
      <c r="B21" s="11" t="s">
        <v>1639</v>
      </c>
      <c r="C21" s="11">
        <v>3</v>
      </c>
      <c r="D21" s="11" t="s">
        <v>1641</v>
      </c>
      <c r="E21" s="11" t="s">
        <v>1691</v>
      </c>
    </row>
    <row r="22" spans="2:5" x14ac:dyDescent="0.45">
      <c r="B22" s="11" t="s">
        <v>1639</v>
      </c>
      <c r="C22" s="11">
        <v>3</v>
      </c>
      <c r="D22" s="11" t="s">
        <v>1641</v>
      </c>
      <c r="E22" s="11" t="s">
        <v>1690</v>
      </c>
    </row>
    <row r="23" spans="2:5" x14ac:dyDescent="0.45">
      <c r="B23" s="11" t="s">
        <v>1639</v>
      </c>
      <c r="C23" s="11">
        <v>3</v>
      </c>
      <c r="D23" s="11" t="s">
        <v>1641</v>
      </c>
      <c r="E23" s="11" t="s">
        <v>1689</v>
      </c>
    </row>
    <row r="24" spans="2:5" x14ac:dyDescent="0.45">
      <c r="B24" s="11" t="s">
        <v>1639</v>
      </c>
      <c r="C24" s="11">
        <v>3</v>
      </c>
      <c r="D24" s="11" t="s">
        <v>1641</v>
      </c>
      <c r="E24" s="11" t="s">
        <v>1688</v>
      </c>
    </row>
    <row r="25" spans="2:5" x14ac:dyDescent="0.45">
      <c r="B25" s="11" t="s">
        <v>1639</v>
      </c>
      <c r="C25" s="11">
        <v>3</v>
      </c>
      <c r="D25" s="11" t="s">
        <v>1687</v>
      </c>
      <c r="E25" s="11" t="s">
        <v>1686</v>
      </c>
    </row>
    <row r="26" spans="2:5" x14ac:dyDescent="0.45">
      <c r="B26" s="11" t="s">
        <v>1639</v>
      </c>
      <c r="C26" s="11">
        <v>3</v>
      </c>
      <c r="D26" s="11" t="s">
        <v>1685</v>
      </c>
      <c r="E26" s="11" t="s">
        <v>1684</v>
      </c>
    </row>
    <row r="27" spans="2:5" x14ac:dyDescent="0.45">
      <c r="B27" s="11" t="s">
        <v>1639</v>
      </c>
      <c r="C27" s="11">
        <v>3</v>
      </c>
      <c r="D27" s="11" t="s">
        <v>1683</v>
      </c>
      <c r="E27" s="11" t="s">
        <v>1682</v>
      </c>
    </row>
    <row r="28" spans="2:5" x14ac:dyDescent="0.45">
      <c r="B28" s="11" t="s">
        <v>1639</v>
      </c>
      <c r="C28" s="11">
        <v>3</v>
      </c>
      <c r="D28" s="11" t="s">
        <v>1681</v>
      </c>
      <c r="E28" s="11" t="s">
        <v>1680</v>
      </c>
    </row>
    <row r="29" spans="2:5" x14ac:dyDescent="0.45">
      <c r="B29" s="11" t="s">
        <v>1639</v>
      </c>
      <c r="C29" s="11">
        <v>3</v>
      </c>
      <c r="D29" s="11" t="s">
        <v>1679</v>
      </c>
      <c r="E29" s="11" t="s">
        <v>1678</v>
      </c>
    </row>
    <row r="30" spans="2:5" x14ac:dyDescent="0.45">
      <c r="B30" s="11" t="s">
        <v>1639</v>
      </c>
      <c r="C30" s="11">
        <v>3</v>
      </c>
      <c r="D30" s="11" t="s">
        <v>1677</v>
      </c>
      <c r="E30" s="11" t="s">
        <v>1676</v>
      </c>
    </row>
    <row r="31" spans="2:5" x14ac:dyDescent="0.45">
      <c r="B31" s="11" t="s">
        <v>1639</v>
      </c>
      <c r="C31" s="11">
        <v>3</v>
      </c>
      <c r="D31" s="11" t="s">
        <v>1675</v>
      </c>
      <c r="E31" s="11" t="s">
        <v>1674</v>
      </c>
    </row>
    <row r="32" spans="2:5" x14ac:dyDescent="0.45">
      <c r="B32" s="11" t="s">
        <v>1639</v>
      </c>
      <c r="C32" s="11">
        <v>3</v>
      </c>
      <c r="D32" s="11" t="s">
        <v>1673</v>
      </c>
      <c r="E32" s="11" t="s">
        <v>1672</v>
      </c>
    </row>
    <row r="33" spans="2:5" x14ac:dyDescent="0.45">
      <c r="B33" s="11" t="s">
        <v>1639</v>
      </c>
      <c r="C33" s="11">
        <v>3</v>
      </c>
      <c r="D33" s="11" t="s">
        <v>1671</v>
      </c>
      <c r="E33" s="11" t="s">
        <v>1670</v>
      </c>
    </row>
    <row r="34" spans="2:5" x14ac:dyDescent="0.45">
      <c r="B34" s="11" t="s">
        <v>1639</v>
      </c>
      <c r="C34" s="11">
        <v>3</v>
      </c>
      <c r="D34" s="11" t="s">
        <v>1669</v>
      </c>
      <c r="E34" s="11" t="s">
        <v>1668</v>
      </c>
    </row>
    <row r="35" spans="2:5" x14ac:dyDescent="0.45">
      <c r="B35" s="11" t="s">
        <v>1639</v>
      </c>
      <c r="C35" s="11">
        <v>3</v>
      </c>
      <c r="D35" s="11" t="s">
        <v>1667</v>
      </c>
      <c r="E35" s="11" t="s">
        <v>1666</v>
      </c>
    </row>
    <row r="36" spans="2:5" x14ac:dyDescent="0.45">
      <c r="B36" s="11" t="s">
        <v>1639</v>
      </c>
      <c r="C36" s="11">
        <v>3</v>
      </c>
      <c r="D36" s="11" t="s">
        <v>1665</v>
      </c>
      <c r="E36" s="11" t="s">
        <v>1664</v>
      </c>
    </row>
    <row r="37" spans="2:5" x14ac:dyDescent="0.45">
      <c r="B37" s="11" t="s">
        <v>1639</v>
      </c>
      <c r="C37" s="11">
        <v>3</v>
      </c>
      <c r="D37" s="11" t="s">
        <v>1663</v>
      </c>
      <c r="E37" s="11" t="s">
        <v>1662</v>
      </c>
    </row>
    <row r="38" spans="2:5" x14ac:dyDescent="0.45">
      <c r="B38" s="11"/>
      <c r="C38" s="11"/>
      <c r="D38" s="11"/>
      <c r="E38" s="11"/>
    </row>
    <row r="39" spans="2:5" x14ac:dyDescent="0.45">
      <c r="B39" s="11" t="s">
        <v>1639</v>
      </c>
      <c r="C39" s="11">
        <v>4</v>
      </c>
      <c r="D39" s="11" t="s">
        <v>1641</v>
      </c>
      <c r="E39" s="11" t="s">
        <v>1661</v>
      </c>
    </row>
    <row r="40" spans="2:5" x14ac:dyDescent="0.45">
      <c r="B40" s="11" t="s">
        <v>1639</v>
      </c>
      <c r="C40" s="11">
        <v>4</v>
      </c>
      <c r="D40" s="11" t="s">
        <v>1641</v>
      </c>
      <c r="E40" s="11" t="s">
        <v>1660</v>
      </c>
    </row>
    <row r="41" spans="2:5" x14ac:dyDescent="0.45">
      <c r="B41" s="11" t="s">
        <v>1639</v>
      </c>
      <c r="C41" s="11">
        <v>4</v>
      </c>
      <c r="D41" s="11" t="s">
        <v>1641</v>
      </c>
      <c r="E41" s="11" t="s">
        <v>1659</v>
      </c>
    </row>
    <row r="42" spans="2:5" x14ac:dyDescent="0.45">
      <c r="B42" s="11" t="s">
        <v>1639</v>
      </c>
      <c r="C42" s="11">
        <v>4</v>
      </c>
      <c r="D42" s="11" t="s">
        <v>1641</v>
      </c>
      <c r="E42" s="11" t="s">
        <v>1658</v>
      </c>
    </row>
    <row r="43" spans="2:5" x14ac:dyDescent="0.45">
      <c r="B43" s="11" t="s">
        <v>1639</v>
      </c>
      <c r="C43" s="11">
        <v>4</v>
      </c>
      <c r="D43" s="11" t="s">
        <v>1657</v>
      </c>
      <c r="E43" s="11" t="s">
        <v>1656</v>
      </c>
    </row>
    <row r="44" spans="2:5" x14ac:dyDescent="0.45">
      <c r="B44" s="11" t="s">
        <v>1639</v>
      </c>
      <c r="C44" s="11">
        <v>4</v>
      </c>
      <c r="D44" s="11" t="s">
        <v>1256</v>
      </c>
      <c r="E44" s="11" t="s">
        <v>1655</v>
      </c>
    </row>
    <row r="45" spans="2:5" x14ac:dyDescent="0.45">
      <c r="B45" s="11" t="s">
        <v>1639</v>
      </c>
      <c r="C45" s="11">
        <v>4</v>
      </c>
      <c r="D45" s="11" t="s">
        <v>1255</v>
      </c>
      <c r="E45" s="11" t="s">
        <v>1654</v>
      </c>
    </row>
    <row r="46" spans="2:5" x14ac:dyDescent="0.45">
      <c r="B46" s="11" t="s">
        <v>1639</v>
      </c>
      <c r="C46" s="11">
        <v>4</v>
      </c>
      <c r="D46" s="11" t="s">
        <v>1254</v>
      </c>
      <c r="E46" s="11" t="s">
        <v>1653</v>
      </c>
    </row>
    <row r="47" spans="2:5" x14ac:dyDescent="0.45">
      <c r="B47" s="11" t="s">
        <v>1639</v>
      </c>
      <c r="C47" s="11">
        <v>4</v>
      </c>
      <c r="D47" s="11" t="s">
        <v>1652</v>
      </c>
      <c r="E47" s="11" t="s">
        <v>1651</v>
      </c>
    </row>
    <row r="48" spans="2:5" x14ac:dyDescent="0.45">
      <c r="B48" s="11" t="s">
        <v>1639</v>
      </c>
      <c r="C48" s="11">
        <v>4</v>
      </c>
      <c r="D48" s="11" t="s">
        <v>1650</v>
      </c>
      <c r="E48" s="11" t="s">
        <v>1649</v>
      </c>
    </row>
    <row r="49" spans="2:6" x14ac:dyDescent="0.45">
      <c r="B49" s="11" t="s">
        <v>1639</v>
      </c>
      <c r="C49" s="11">
        <v>4</v>
      </c>
      <c r="D49" s="11" t="s">
        <v>1648</v>
      </c>
      <c r="E49" s="11" t="s">
        <v>1647</v>
      </c>
    </row>
    <row r="50" spans="2:6" x14ac:dyDescent="0.45">
      <c r="B50" s="11" t="s">
        <v>1639</v>
      </c>
      <c r="C50" s="11">
        <v>4</v>
      </c>
      <c r="D50" s="11" t="s">
        <v>1646</v>
      </c>
      <c r="E50" s="11" t="s">
        <v>1645</v>
      </c>
    </row>
    <row r="51" spans="2:6" x14ac:dyDescent="0.45">
      <c r="B51" s="11" t="s">
        <v>1639</v>
      </c>
      <c r="C51" s="11">
        <v>4</v>
      </c>
      <c r="D51" s="11" t="s">
        <v>1641</v>
      </c>
      <c r="E51" s="11" t="s">
        <v>1644</v>
      </c>
    </row>
    <row r="52" spans="2:6" x14ac:dyDescent="0.45">
      <c r="B52" s="11" t="s">
        <v>1639</v>
      </c>
      <c r="C52" s="11">
        <v>4</v>
      </c>
      <c r="D52" s="11" t="s">
        <v>1641</v>
      </c>
      <c r="E52" s="11" t="s">
        <v>1643</v>
      </c>
    </row>
    <row r="53" spans="2:6" x14ac:dyDescent="0.45">
      <c r="B53" s="11" t="s">
        <v>1639</v>
      </c>
      <c r="C53" s="11">
        <v>4</v>
      </c>
      <c r="D53" s="11" t="s">
        <v>1641</v>
      </c>
      <c r="E53" s="11" t="s">
        <v>1642</v>
      </c>
    </row>
    <row r="54" spans="2:6" x14ac:dyDescent="0.45">
      <c r="B54" s="11" t="s">
        <v>1639</v>
      </c>
      <c r="C54" s="11">
        <v>4</v>
      </c>
      <c r="D54" s="11" t="s">
        <v>1641</v>
      </c>
      <c r="E54" s="11" t="s">
        <v>1640</v>
      </c>
    </row>
    <row r="55" spans="2:6" x14ac:dyDescent="0.45">
      <c r="B55" s="11" t="s">
        <v>1639</v>
      </c>
      <c r="C55" s="11">
        <v>4</v>
      </c>
      <c r="D55" s="11" t="s">
        <v>1638</v>
      </c>
      <c r="E55" s="11" t="s">
        <v>1637</v>
      </c>
    </row>
    <row r="57" spans="2:6" s="8" customFormat="1" x14ac:dyDescent="0.45">
      <c r="B57" s="8" t="s">
        <v>1636</v>
      </c>
      <c r="C57" s="8">
        <v>5</v>
      </c>
      <c r="D57" s="8" t="s">
        <v>1635</v>
      </c>
      <c r="E57" s="8" t="s">
        <v>1634</v>
      </c>
      <c r="F57" s="8" t="s">
        <v>1633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3A6D-7755-4862-9896-1B0037677DA0}">
  <sheetPr>
    <tabColor rgb="FF7030A0"/>
  </sheetPr>
  <dimension ref="B3:E69"/>
  <sheetViews>
    <sheetView topLeftCell="A22" zoomScaleNormal="100" zoomScaleSheetLayoutView="75" workbookViewId="0">
      <selection activeCell="D21" sqref="D21:E21"/>
    </sheetView>
  </sheetViews>
  <sheetFormatPr defaultColWidth="8.58203125" defaultRowHeight="17" x14ac:dyDescent="0.45"/>
  <cols>
    <col min="1" max="1" width="8.58203125" style="3"/>
    <col min="2" max="2" width="8.5" style="3" bestFit="1" customWidth="1"/>
    <col min="3" max="3" width="8.58203125" style="3"/>
    <col min="4" max="4" width="22.33203125" style="3" bestFit="1" customWidth="1"/>
    <col min="5" max="5" width="48.33203125" style="3" bestFit="1" customWidth="1"/>
    <col min="6" max="16384" width="8.58203125" style="3"/>
  </cols>
  <sheetData>
    <row r="3" spans="2:5" x14ac:dyDescent="0.45">
      <c r="B3" s="4" t="s">
        <v>1211</v>
      </c>
      <c r="C3" s="4">
        <v>1</v>
      </c>
      <c r="D3" s="4" t="s">
        <v>1803</v>
      </c>
      <c r="E3" s="4" t="s">
        <v>1808</v>
      </c>
    </row>
    <row r="4" spans="2:5" x14ac:dyDescent="0.45">
      <c r="B4" s="4" t="s">
        <v>1211</v>
      </c>
      <c r="C4" s="4">
        <v>1</v>
      </c>
      <c r="D4" s="4" t="s">
        <v>1801</v>
      </c>
      <c r="E4" s="4" t="s">
        <v>1807</v>
      </c>
    </row>
    <row r="5" spans="2:5" x14ac:dyDescent="0.45">
      <c r="B5" s="4" t="s">
        <v>1211</v>
      </c>
      <c r="C5" s="4">
        <v>1</v>
      </c>
      <c r="D5" s="4" t="s">
        <v>1799</v>
      </c>
      <c r="E5" s="4" t="s">
        <v>1806</v>
      </c>
    </row>
    <row r="6" spans="2:5" x14ac:dyDescent="0.45">
      <c r="B6" s="4" t="s">
        <v>1211</v>
      </c>
      <c r="C6" s="4">
        <v>1</v>
      </c>
      <c r="D6" s="4" t="s">
        <v>1797</v>
      </c>
      <c r="E6" s="4" t="s">
        <v>1805</v>
      </c>
    </row>
    <row r="7" spans="2:5" x14ac:dyDescent="0.45">
      <c r="B7" s="4" t="s">
        <v>1211</v>
      </c>
      <c r="C7" s="4">
        <v>1</v>
      </c>
      <c r="D7" s="4" t="s">
        <v>1795</v>
      </c>
      <c r="E7" s="4" t="s">
        <v>1804</v>
      </c>
    </row>
    <row r="8" spans="2:5" x14ac:dyDescent="0.45">
      <c r="B8" s="4" t="s">
        <v>1211</v>
      </c>
      <c r="C8" s="4">
        <v>1</v>
      </c>
      <c r="D8" s="4" t="s">
        <v>1803</v>
      </c>
      <c r="E8" s="4" t="s">
        <v>1802</v>
      </c>
    </row>
    <row r="9" spans="2:5" x14ac:dyDescent="0.45">
      <c r="B9" s="4" t="s">
        <v>1211</v>
      </c>
      <c r="C9" s="4">
        <v>1</v>
      </c>
      <c r="D9" s="4" t="s">
        <v>1801</v>
      </c>
      <c r="E9" s="4" t="s">
        <v>1800</v>
      </c>
    </row>
    <row r="10" spans="2:5" x14ac:dyDescent="0.45">
      <c r="B10" s="4" t="s">
        <v>1211</v>
      </c>
      <c r="C10" s="4">
        <v>1</v>
      </c>
      <c r="D10" s="4" t="s">
        <v>1799</v>
      </c>
      <c r="E10" s="4" t="s">
        <v>1798</v>
      </c>
    </row>
    <row r="11" spans="2:5" x14ac:dyDescent="0.45">
      <c r="B11" s="4" t="s">
        <v>1211</v>
      </c>
      <c r="C11" s="4">
        <v>1</v>
      </c>
      <c r="D11" s="4" t="s">
        <v>1797</v>
      </c>
      <c r="E11" s="4" t="s">
        <v>1796</v>
      </c>
    </row>
    <row r="12" spans="2:5" x14ac:dyDescent="0.45">
      <c r="B12" s="4" t="s">
        <v>1211</v>
      </c>
      <c r="C12" s="4">
        <v>1</v>
      </c>
      <c r="D12" s="4" t="s">
        <v>1795</v>
      </c>
      <c r="E12" s="4" t="s">
        <v>1794</v>
      </c>
    </row>
    <row r="13" spans="2:5" x14ac:dyDescent="0.45">
      <c r="B13" s="4" t="s">
        <v>1211</v>
      </c>
      <c r="C13" s="4">
        <v>1</v>
      </c>
      <c r="D13" s="4" t="s">
        <v>1793</v>
      </c>
      <c r="E13" s="4" t="s">
        <v>1792</v>
      </c>
    </row>
    <row r="14" spans="2:5" x14ac:dyDescent="0.45">
      <c r="B14" s="4" t="s">
        <v>1211</v>
      </c>
      <c r="C14" s="4">
        <v>1</v>
      </c>
      <c r="D14" s="4" t="s">
        <v>1791</v>
      </c>
      <c r="E14" s="4" t="s">
        <v>1790</v>
      </c>
    </row>
    <row r="15" spans="2:5" x14ac:dyDescent="0.45">
      <c r="B15" s="4" t="s">
        <v>1211</v>
      </c>
      <c r="C15" s="4">
        <v>1</v>
      </c>
      <c r="D15" s="4" t="s">
        <v>1789</v>
      </c>
      <c r="E15" s="4" t="s">
        <v>1788</v>
      </c>
    </row>
    <row r="16" spans="2:5" x14ac:dyDescent="0.45">
      <c r="B16" s="4" t="s">
        <v>1211</v>
      </c>
      <c r="C16" s="4">
        <v>1</v>
      </c>
      <c r="D16" s="4" t="s">
        <v>1787</v>
      </c>
      <c r="E16" s="4" t="s">
        <v>1786</v>
      </c>
    </row>
    <row r="17" spans="2:5" x14ac:dyDescent="0.45">
      <c r="B17" s="4" t="s">
        <v>1211</v>
      </c>
      <c r="C17" s="4">
        <v>1</v>
      </c>
      <c r="D17" s="4" t="s">
        <v>1757</v>
      </c>
      <c r="E17" s="4" t="s">
        <v>1785</v>
      </c>
    </row>
    <row r="18" spans="2:5" x14ac:dyDescent="0.45">
      <c r="B18" s="4" t="s">
        <v>1211</v>
      </c>
      <c r="C18" s="4">
        <v>1</v>
      </c>
      <c r="D18" s="4" t="s">
        <v>1784</v>
      </c>
      <c r="E18" s="4" t="s">
        <v>1783</v>
      </c>
    </row>
    <row r="19" spans="2:5" x14ac:dyDescent="0.45">
      <c r="B19" s="4" t="s">
        <v>1211</v>
      </c>
      <c r="C19" s="4">
        <v>1</v>
      </c>
      <c r="D19" s="4" t="s">
        <v>1782</v>
      </c>
      <c r="E19" s="4" t="s">
        <v>1781</v>
      </c>
    </row>
    <row r="20" spans="2:5" x14ac:dyDescent="0.45">
      <c r="B20" s="4" t="s">
        <v>1211</v>
      </c>
      <c r="C20" s="4">
        <v>1</v>
      </c>
      <c r="D20" s="4" t="s">
        <v>1780</v>
      </c>
      <c r="E20" s="4" t="s">
        <v>1779</v>
      </c>
    </row>
    <row r="21" spans="2:5" x14ac:dyDescent="0.45">
      <c r="B21" s="4" t="s">
        <v>1211</v>
      </c>
      <c r="C21" s="4">
        <v>1</v>
      </c>
      <c r="D21" s="4" t="s">
        <v>1739</v>
      </c>
      <c r="E21" s="4" t="s">
        <v>1778</v>
      </c>
    </row>
    <row r="22" spans="2:5" x14ac:dyDescent="0.45">
      <c r="B22" s="4" t="s">
        <v>1211</v>
      </c>
      <c r="C22" s="4">
        <v>1</v>
      </c>
      <c r="D22" s="4" t="s">
        <v>1757</v>
      </c>
      <c r="E22" s="4" t="s">
        <v>1777</v>
      </c>
    </row>
    <row r="23" spans="2:5" x14ac:dyDescent="0.45">
      <c r="B23" s="4" t="s">
        <v>1211</v>
      </c>
      <c r="C23" s="4">
        <v>1</v>
      </c>
      <c r="D23" s="4" t="s">
        <v>1776</v>
      </c>
      <c r="E23" s="4" t="s">
        <v>1775</v>
      </c>
    </row>
    <row r="24" spans="2:5" x14ac:dyDescent="0.45">
      <c r="B24" s="4" t="s">
        <v>1211</v>
      </c>
      <c r="C24" s="4">
        <v>1</v>
      </c>
      <c r="D24" s="4" t="s">
        <v>1769</v>
      </c>
      <c r="E24" s="4" t="s">
        <v>1774</v>
      </c>
    </row>
    <row r="25" spans="2:5" x14ac:dyDescent="0.45">
      <c r="B25" s="4" t="s">
        <v>1211</v>
      </c>
      <c r="C25" s="4">
        <v>1</v>
      </c>
      <c r="D25" s="4" t="s">
        <v>1773</v>
      </c>
      <c r="E25" s="4" t="s">
        <v>1772</v>
      </c>
    </row>
    <row r="26" spans="2:5" x14ac:dyDescent="0.45">
      <c r="B26" s="4" t="s">
        <v>1211</v>
      </c>
      <c r="C26" s="4">
        <v>1</v>
      </c>
      <c r="D26" s="4" t="s">
        <v>1771</v>
      </c>
      <c r="E26" s="4" t="s">
        <v>1770</v>
      </c>
    </row>
    <row r="27" spans="2:5" x14ac:dyDescent="0.45">
      <c r="B27" s="4" t="s">
        <v>1211</v>
      </c>
      <c r="C27" s="4">
        <v>1</v>
      </c>
      <c r="D27" s="4" t="s">
        <v>1769</v>
      </c>
      <c r="E27" s="4" t="s">
        <v>1768</v>
      </c>
    </row>
    <row r="28" spans="2:5" x14ac:dyDescent="0.45">
      <c r="B28" s="4"/>
      <c r="C28" s="4"/>
      <c r="D28" s="4"/>
      <c r="E28" s="4"/>
    </row>
    <row r="29" spans="2:5" x14ac:dyDescent="0.45">
      <c r="B29" s="4" t="s">
        <v>1211</v>
      </c>
      <c r="C29" s="4">
        <v>2</v>
      </c>
      <c r="D29" s="4" t="s">
        <v>1434</v>
      </c>
      <c r="E29" s="4" t="s">
        <v>1767</v>
      </c>
    </row>
    <row r="30" spans="2:5" x14ac:dyDescent="0.45">
      <c r="B30" s="4" t="s">
        <v>1211</v>
      </c>
      <c r="C30" s="4">
        <v>2</v>
      </c>
      <c r="D30" s="4" t="s">
        <v>1432</v>
      </c>
      <c r="E30" s="4" t="s">
        <v>1766</v>
      </c>
    </row>
    <row r="31" spans="2:5" x14ac:dyDescent="0.45">
      <c r="B31" s="4" t="s">
        <v>1211</v>
      </c>
      <c r="C31" s="4">
        <v>2</v>
      </c>
      <c r="D31" s="4" t="s">
        <v>1564</v>
      </c>
      <c r="E31" s="4" t="s">
        <v>1765</v>
      </c>
    </row>
    <row r="32" spans="2:5" x14ac:dyDescent="0.45">
      <c r="B32" s="4" t="s">
        <v>1211</v>
      </c>
      <c r="C32" s="4">
        <v>2</v>
      </c>
      <c r="D32" s="4" t="s">
        <v>1562</v>
      </c>
      <c r="E32" s="4" t="s">
        <v>1764</v>
      </c>
    </row>
    <row r="33" spans="2:5" x14ac:dyDescent="0.45">
      <c r="B33" s="4" t="s">
        <v>1211</v>
      </c>
      <c r="C33" s="4">
        <v>2</v>
      </c>
      <c r="D33" s="4" t="s">
        <v>1763</v>
      </c>
      <c r="E33" s="4" t="s">
        <v>1762</v>
      </c>
    </row>
    <row r="34" spans="2:5" x14ac:dyDescent="0.45">
      <c r="B34" s="4" t="s">
        <v>1211</v>
      </c>
      <c r="C34" s="4">
        <v>2</v>
      </c>
      <c r="D34" s="4" t="s">
        <v>1564</v>
      </c>
      <c r="E34" s="4" t="s">
        <v>1761</v>
      </c>
    </row>
    <row r="35" spans="2:5" x14ac:dyDescent="0.45">
      <c r="B35" s="4" t="s">
        <v>1211</v>
      </c>
      <c r="C35" s="4">
        <v>2</v>
      </c>
      <c r="D35" s="4" t="s">
        <v>1562</v>
      </c>
      <c r="E35" s="4" t="s">
        <v>1760</v>
      </c>
    </row>
    <row r="36" spans="2:5" x14ac:dyDescent="0.45">
      <c r="B36" s="4" t="s">
        <v>1211</v>
      </c>
      <c r="C36" s="4">
        <v>2</v>
      </c>
      <c r="D36" s="4" t="s">
        <v>1432</v>
      </c>
      <c r="E36" s="4" t="s">
        <v>1759</v>
      </c>
    </row>
    <row r="37" spans="2:5" x14ac:dyDescent="0.45">
      <c r="B37" s="4" t="s">
        <v>1211</v>
      </c>
      <c r="C37" s="4">
        <v>2</v>
      </c>
      <c r="D37" s="4" t="s">
        <v>1434</v>
      </c>
      <c r="E37" s="4" t="s">
        <v>1758</v>
      </c>
    </row>
    <row r="38" spans="2:5" x14ac:dyDescent="0.45">
      <c r="B38" s="4" t="s">
        <v>1211</v>
      </c>
      <c r="C38" s="4">
        <v>2</v>
      </c>
      <c r="D38" s="4" t="s">
        <v>1757</v>
      </c>
      <c r="E38" s="4" t="s">
        <v>1756</v>
      </c>
    </row>
    <row r="39" spans="2:5" x14ac:dyDescent="0.45">
      <c r="B39" s="4" t="s">
        <v>1211</v>
      </c>
      <c r="C39" s="4">
        <v>2</v>
      </c>
      <c r="D39" s="4" t="s">
        <v>1755</v>
      </c>
      <c r="E39" s="4" t="s">
        <v>1754</v>
      </c>
    </row>
    <row r="40" spans="2:5" x14ac:dyDescent="0.45">
      <c r="B40" s="4" t="s">
        <v>1211</v>
      </c>
      <c r="C40" s="4">
        <v>2</v>
      </c>
      <c r="D40" s="4" t="s">
        <v>1731</v>
      </c>
      <c r="E40" s="4" t="s">
        <v>1753</v>
      </c>
    </row>
    <row r="41" spans="2:5" x14ac:dyDescent="0.45">
      <c r="B41" s="4" t="s">
        <v>1211</v>
      </c>
      <c r="C41" s="4">
        <v>2</v>
      </c>
      <c r="D41" s="4" t="s">
        <v>1735</v>
      </c>
      <c r="E41" s="4" t="s">
        <v>1752</v>
      </c>
    </row>
    <row r="42" spans="2:5" x14ac:dyDescent="0.45">
      <c r="B42" s="4" t="s">
        <v>1211</v>
      </c>
      <c r="C42" s="4">
        <v>2</v>
      </c>
      <c r="D42" s="4" t="s">
        <v>1737</v>
      </c>
      <c r="E42" s="4" t="s">
        <v>1751</v>
      </c>
    </row>
    <row r="43" spans="2:5" x14ac:dyDescent="0.45">
      <c r="B43" s="4" t="s">
        <v>1211</v>
      </c>
      <c r="C43" s="4">
        <v>2</v>
      </c>
      <c r="D43" s="4" t="s">
        <v>1750</v>
      </c>
      <c r="E43" s="4" t="s">
        <v>1749</v>
      </c>
    </row>
    <row r="44" spans="2:5" x14ac:dyDescent="0.45">
      <c r="B44" s="4" t="s">
        <v>1211</v>
      </c>
      <c r="C44" s="4">
        <v>2</v>
      </c>
      <c r="D44" s="4" t="s">
        <v>1748</v>
      </c>
      <c r="E44" s="4" t="s">
        <v>1747</v>
      </c>
    </row>
    <row r="45" spans="2:5" x14ac:dyDescent="0.45">
      <c r="B45" s="4" t="s">
        <v>1211</v>
      </c>
      <c r="C45" s="4">
        <v>2</v>
      </c>
      <c r="D45" s="4" t="s">
        <v>1746</v>
      </c>
      <c r="E45" s="4" t="s">
        <v>1745</v>
      </c>
    </row>
    <row r="46" spans="2:5" x14ac:dyDescent="0.45">
      <c r="B46" s="4" t="s">
        <v>1211</v>
      </c>
      <c r="C46" s="4">
        <v>2</v>
      </c>
      <c r="D46" s="4" t="s">
        <v>1744</v>
      </c>
      <c r="E46" s="4" t="s">
        <v>1743</v>
      </c>
    </row>
    <row r="47" spans="2:5" x14ac:dyDescent="0.45">
      <c r="B47" s="4" t="s">
        <v>1211</v>
      </c>
      <c r="C47" s="4">
        <v>2</v>
      </c>
      <c r="D47" s="4" t="s">
        <v>1742</v>
      </c>
      <c r="E47" s="4" t="s">
        <v>1741</v>
      </c>
    </row>
    <row r="48" spans="2:5" x14ac:dyDescent="0.45">
      <c r="B48" s="4" t="s">
        <v>1211</v>
      </c>
      <c r="C48" s="4">
        <v>2</v>
      </c>
      <c r="D48" s="4" t="s">
        <v>1260</v>
      </c>
      <c r="E48" s="4" t="s">
        <v>1740</v>
      </c>
    </row>
    <row r="49" spans="2:5" x14ac:dyDescent="0.45">
      <c r="B49" s="4" t="s">
        <v>1211</v>
      </c>
      <c r="C49" s="4">
        <v>2</v>
      </c>
      <c r="D49" s="4" t="s">
        <v>1729</v>
      </c>
      <c r="E49" s="4" t="s">
        <v>1542</v>
      </c>
    </row>
    <row r="50" spans="2:5" x14ac:dyDescent="0.45">
      <c r="B50" s="4" t="s">
        <v>1211</v>
      </c>
      <c r="C50" s="4">
        <v>2</v>
      </c>
      <c r="D50" s="4" t="s">
        <v>1739</v>
      </c>
      <c r="E50" s="4" t="s">
        <v>1738</v>
      </c>
    </row>
    <row r="51" spans="2:5" x14ac:dyDescent="0.45">
      <c r="B51" s="4" t="s">
        <v>1211</v>
      </c>
      <c r="C51" s="4">
        <v>2</v>
      </c>
      <c r="D51" s="4" t="s">
        <v>1737</v>
      </c>
      <c r="E51" s="4" t="s">
        <v>1736</v>
      </c>
    </row>
    <row r="52" spans="2:5" x14ac:dyDescent="0.45">
      <c r="B52" s="4" t="s">
        <v>1211</v>
      </c>
      <c r="C52" s="4">
        <v>2</v>
      </c>
      <c r="D52" s="4" t="s">
        <v>1735</v>
      </c>
      <c r="E52" s="4" t="s">
        <v>1734</v>
      </c>
    </row>
    <row r="53" spans="2:5" x14ac:dyDescent="0.45">
      <c r="B53" s="4" t="s">
        <v>1211</v>
      </c>
      <c r="C53" s="4">
        <v>2</v>
      </c>
      <c r="D53" s="4" t="s">
        <v>1733</v>
      </c>
      <c r="E53" s="4" t="s">
        <v>1732</v>
      </c>
    </row>
    <row r="54" spans="2:5" x14ac:dyDescent="0.45">
      <c r="B54" s="4" t="s">
        <v>1211</v>
      </c>
      <c r="C54" s="4">
        <v>2</v>
      </c>
      <c r="D54" s="4" t="s">
        <v>1731</v>
      </c>
      <c r="E54" s="4" t="s">
        <v>1730</v>
      </c>
    </row>
    <row r="55" spans="2:5" x14ac:dyDescent="0.45">
      <c r="B55" s="4"/>
      <c r="C55" s="4"/>
      <c r="D55" s="4"/>
      <c r="E55" s="4"/>
    </row>
    <row r="56" spans="2:5" x14ac:dyDescent="0.45">
      <c r="B56" s="4" t="s">
        <v>1211</v>
      </c>
      <c r="C56" s="4">
        <v>3</v>
      </c>
      <c r="D56" s="4" t="s">
        <v>1729</v>
      </c>
      <c r="E56" s="4" t="s">
        <v>1728</v>
      </c>
    </row>
    <row r="57" spans="2:5" x14ac:dyDescent="0.45">
      <c r="B57" s="4" t="s">
        <v>1211</v>
      </c>
      <c r="C57" s="4">
        <v>3</v>
      </c>
      <c r="D57" s="4" t="s">
        <v>1727</v>
      </c>
      <c r="E57" s="4" t="s">
        <v>1726</v>
      </c>
    </row>
    <row r="58" spans="2:5" x14ac:dyDescent="0.45">
      <c r="B58" s="4" t="s">
        <v>1211</v>
      </c>
      <c r="C58" s="4">
        <v>3</v>
      </c>
      <c r="D58" s="4" t="s">
        <v>1725</v>
      </c>
      <c r="E58" s="4" t="s">
        <v>1724</v>
      </c>
    </row>
    <row r="59" spans="2:5" x14ac:dyDescent="0.45">
      <c r="B59" s="4" t="s">
        <v>1211</v>
      </c>
      <c r="C59" s="4">
        <v>3</v>
      </c>
      <c r="D59" s="4" t="s">
        <v>1719</v>
      </c>
      <c r="E59" s="4" t="s">
        <v>1723</v>
      </c>
    </row>
    <row r="60" spans="2:5" x14ac:dyDescent="0.45">
      <c r="B60" s="4" t="s">
        <v>1211</v>
      </c>
      <c r="C60" s="4">
        <v>3</v>
      </c>
      <c r="D60" s="4" t="s">
        <v>1721</v>
      </c>
      <c r="E60" s="4" t="s">
        <v>1722</v>
      </c>
    </row>
    <row r="61" spans="2:5" x14ac:dyDescent="0.45">
      <c r="B61" s="4" t="s">
        <v>1211</v>
      </c>
      <c r="C61" s="4">
        <v>3</v>
      </c>
      <c r="D61" s="4" t="s">
        <v>1721</v>
      </c>
      <c r="E61" s="4" t="s">
        <v>1720</v>
      </c>
    </row>
    <row r="62" spans="2:5" x14ac:dyDescent="0.45">
      <c r="B62" s="4" t="s">
        <v>1211</v>
      </c>
      <c r="C62" s="4">
        <v>3</v>
      </c>
      <c r="D62" s="4" t="s">
        <v>1719</v>
      </c>
      <c r="E62" s="4" t="s">
        <v>1718</v>
      </c>
    </row>
    <row r="63" spans="2:5" x14ac:dyDescent="0.45">
      <c r="B63" s="4" t="s">
        <v>1211</v>
      </c>
      <c r="C63" s="4">
        <v>3</v>
      </c>
      <c r="D63" s="4" t="s">
        <v>1303</v>
      </c>
      <c r="E63" s="4" t="s">
        <v>1717</v>
      </c>
    </row>
    <row r="64" spans="2:5" x14ac:dyDescent="0.45">
      <c r="B64" s="4"/>
      <c r="C64" s="4"/>
      <c r="D64" s="4"/>
      <c r="E64" s="4"/>
    </row>
    <row r="65" spans="2:5" x14ac:dyDescent="0.45">
      <c r="B65" s="4" t="s">
        <v>1211</v>
      </c>
      <c r="C65" s="4">
        <v>4</v>
      </c>
      <c r="D65" s="4" t="s">
        <v>1716</v>
      </c>
      <c r="E65" s="4" t="s">
        <v>1715</v>
      </c>
    </row>
    <row r="66" spans="2:5" x14ac:dyDescent="0.45">
      <c r="B66" s="4" t="s">
        <v>1211</v>
      </c>
      <c r="C66" s="4">
        <v>4</v>
      </c>
      <c r="D66" s="4" t="s">
        <v>1714</v>
      </c>
      <c r="E66" s="4" t="s">
        <v>1713</v>
      </c>
    </row>
    <row r="67" spans="2:5" x14ac:dyDescent="0.45">
      <c r="B67" s="4" t="s">
        <v>1211</v>
      </c>
      <c r="C67" s="4">
        <v>4</v>
      </c>
      <c r="D67" s="4" t="s">
        <v>1273</v>
      </c>
      <c r="E67" s="4" t="s">
        <v>1712</v>
      </c>
    </row>
    <row r="68" spans="2:5" x14ac:dyDescent="0.45">
      <c r="B68" s="4"/>
      <c r="C68" s="4"/>
      <c r="D68" s="4"/>
      <c r="E68" s="4"/>
    </row>
    <row r="69" spans="2:5" x14ac:dyDescent="0.45">
      <c r="B69" s="5" t="s">
        <v>1211</v>
      </c>
      <c r="C69" s="5">
        <v>5</v>
      </c>
      <c r="D69" s="5" t="s">
        <v>1711</v>
      </c>
      <c r="E69" s="5" t="s">
        <v>1710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CCE5-D839-45AF-8982-845E0938DB80}">
  <dimension ref="A1:Q59"/>
  <sheetViews>
    <sheetView workbookViewId="0">
      <selection activeCell="H32" sqref="H32"/>
    </sheetView>
  </sheetViews>
  <sheetFormatPr defaultRowHeight="13" x14ac:dyDescent="0.45"/>
  <cols>
    <col min="1" max="1" width="8.25" style="24" bestFit="1" customWidth="1"/>
    <col min="2" max="2" width="6.5" style="24" customWidth="1"/>
    <col min="3" max="3" width="3.08203125" style="24" customWidth="1"/>
    <col min="4" max="4" width="8.25" style="24" bestFit="1" customWidth="1"/>
    <col min="5" max="5" width="6.5" style="24" customWidth="1"/>
    <col min="6" max="6" width="3.08203125" style="24" customWidth="1"/>
    <col min="7" max="7" width="8.25" style="24" bestFit="1" customWidth="1"/>
    <col min="8" max="8" width="6.5" style="24" customWidth="1"/>
    <col min="9" max="9" width="3.33203125" style="24" customWidth="1"/>
    <col min="10" max="10" width="9.08203125" style="24" bestFit="1" customWidth="1"/>
    <col min="11" max="11" width="6.5" style="24" customWidth="1"/>
    <col min="12" max="12" width="3.5" style="24" customWidth="1"/>
    <col min="13" max="13" width="10.5" style="24" customWidth="1"/>
    <col min="14" max="14" width="6.5" style="24" customWidth="1"/>
    <col min="15" max="15" width="3.5" style="24" customWidth="1"/>
    <col min="16" max="16" width="10.58203125" style="24" customWidth="1"/>
    <col min="17" max="17" width="7.83203125" style="24" customWidth="1"/>
    <col min="18" max="256" width="9" style="24"/>
    <col min="257" max="257" width="8.25" style="24" bestFit="1" customWidth="1"/>
    <col min="258" max="258" width="6.5" style="24" customWidth="1"/>
    <col min="259" max="259" width="3.08203125" style="24" customWidth="1"/>
    <col min="260" max="260" width="8.25" style="24" bestFit="1" customWidth="1"/>
    <col min="261" max="261" width="6.5" style="24" customWidth="1"/>
    <col min="262" max="262" width="3.08203125" style="24" customWidth="1"/>
    <col min="263" max="263" width="8.25" style="24" bestFit="1" customWidth="1"/>
    <col min="264" max="264" width="6.5" style="24" customWidth="1"/>
    <col min="265" max="265" width="3.33203125" style="24" customWidth="1"/>
    <col min="266" max="266" width="9.08203125" style="24" bestFit="1" customWidth="1"/>
    <col min="267" max="267" width="6.5" style="24" customWidth="1"/>
    <col min="268" max="268" width="3.5" style="24" customWidth="1"/>
    <col min="269" max="269" width="10.5" style="24" customWidth="1"/>
    <col min="270" max="270" width="6.5" style="24" customWidth="1"/>
    <col min="271" max="271" width="3.5" style="24" customWidth="1"/>
    <col min="272" max="272" width="10.58203125" style="24" customWidth="1"/>
    <col min="273" max="273" width="7.83203125" style="24" customWidth="1"/>
    <col min="274" max="512" width="9" style="24"/>
    <col min="513" max="513" width="8.25" style="24" bestFit="1" customWidth="1"/>
    <col min="514" max="514" width="6.5" style="24" customWidth="1"/>
    <col min="515" max="515" width="3.08203125" style="24" customWidth="1"/>
    <col min="516" max="516" width="8.25" style="24" bestFit="1" customWidth="1"/>
    <col min="517" max="517" width="6.5" style="24" customWidth="1"/>
    <col min="518" max="518" width="3.08203125" style="24" customWidth="1"/>
    <col min="519" max="519" width="8.25" style="24" bestFit="1" customWidth="1"/>
    <col min="520" max="520" width="6.5" style="24" customWidth="1"/>
    <col min="521" max="521" width="3.33203125" style="24" customWidth="1"/>
    <col min="522" max="522" width="9.08203125" style="24" bestFit="1" customWidth="1"/>
    <col min="523" max="523" width="6.5" style="24" customWidth="1"/>
    <col min="524" max="524" width="3.5" style="24" customWidth="1"/>
    <col min="525" max="525" width="10.5" style="24" customWidth="1"/>
    <col min="526" max="526" width="6.5" style="24" customWidth="1"/>
    <col min="527" max="527" width="3.5" style="24" customWidth="1"/>
    <col min="528" max="528" width="10.58203125" style="24" customWidth="1"/>
    <col min="529" max="529" width="7.83203125" style="24" customWidth="1"/>
    <col min="530" max="768" width="9" style="24"/>
    <col min="769" max="769" width="8.25" style="24" bestFit="1" customWidth="1"/>
    <col min="770" max="770" width="6.5" style="24" customWidth="1"/>
    <col min="771" max="771" width="3.08203125" style="24" customWidth="1"/>
    <col min="772" max="772" width="8.25" style="24" bestFit="1" customWidth="1"/>
    <col min="773" max="773" width="6.5" style="24" customWidth="1"/>
    <col min="774" max="774" width="3.08203125" style="24" customWidth="1"/>
    <col min="775" max="775" width="8.25" style="24" bestFit="1" customWidth="1"/>
    <col min="776" max="776" width="6.5" style="24" customWidth="1"/>
    <col min="777" max="777" width="3.33203125" style="24" customWidth="1"/>
    <col min="778" max="778" width="9.08203125" style="24" bestFit="1" customWidth="1"/>
    <col min="779" max="779" width="6.5" style="24" customWidth="1"/>
    <col min="780" max="780" width="3.5" style="24" customWidth="1"/>
    <col min="781" max="781" width="10.5" style="24" customWidth="1"/>
    <col min="782" max="782" width="6.5" style="24" customWidth="1"/>
    <col min="783" max="783" width="3.5" style="24" customWidth="1"/>
    <col min="784" max="784" width="10.58203125" style="24" customWidth="1"/>
    <col min="785" max="785" width="7.83203125" style="24" customWidth="1"/>
    <col min="786" max="1024" width="9" style="24"/>
    <col min="1025" max="1025" width="8.25" style="24" bestFit="1" customWidth="1"/>
    <col min="1026" max="1026" width="6.5" style="24" customWidth="1"/>
    <col min="1027" max="1027" width="3.08203125" style="24" customWidth="1"/>
    <col min="1028" max="1028" width="8.25" style="24" bestFit="1" customWidth="1"/>
    <col min="1029" max="1029" width="6.5" style="24" customWidth="1"/>
    <col min="1030" max="1030" width="3.08203125" style="24" customWidth="1"/>
    <col min="1031" max="1031" width="8.25" style="24" bestFit="1" customWidth="1"/>
    <col min="1032" max="1032" width="6.5" style="24" customWidth="1"/>
    <col min="1033" max="1033" width="3.33203125" style="24" customWidth="1"/>
    <col min="1034" max="1034" width="9.08203125" style="24" bestFit="1" customWidth="1"/>
    <col min="1035" max="1035" width="6.5" style="24" customWidth="1"/>
    <col min="1036" max="1036" width="3.5" style="24" customWidth="1"/>
    <col min="1037" max="1037" width="10.5" style="24" customWidth="1"/>
    <col min="1038" max="1038" width="6.5" style="24" customWidth="1"/>
    <col min="1039" max="1039" width="3.5" style="24" customWidth="1"/>
    <col min="1040" max="1040" width="10.58203125" style="24" customWidth="1"/>
    <col min="1041" max="1041" width="7.83203125" style="24" customWidth="1"/>
    <col min="1042" max="1280" width="9" style="24"/>
    <col min="1281" max="1281" width="8.25" style="24" bestFit="1" customWidth="1"/>
    <col min="1282" max="1282" width="6.5" style="24" customWidth="1"/>
    <col min="1283" max="1283" width="3.08203125" style="24" customWidth="1"/>
    <col min="1284" max="1284" width="8.25" style="24" bestFit="1" customWidth="1"/>
    <col min="1285" max="1285" width="6.5" style="24" customWidth="1"/>
    <col min="1286" max="1286" width="3.08203125" style="24" customWidth="1"/>
    <col min="1287" max="1287" width="8.25" style="24" bestFit="1" customWidth="1"/>
    <col min="1288" max="1288" width="6.5" style="24" customWidth="1"/>
    <col min="1289" max="1289" width="3.33203125" style="24" customWidth="1"/>
    <col min="1290" max="1290" width="9.08203125" style="24" bestFit="1" customWidth="1"/>
    <col min="1291" max="1291" width="6.5" style="24" customWidth="1"/>
    <col min="1292" max="1292" width="3.5" style="24" customWidth="1"/>
    <col min="1293" max="1293" width="10.5" style="24" customWidth="1"/>
    <col min="1294" max="1294" width="6.5" style="24" customWidth="1"/>
    <col min="1295" max="1295" width="3.5" style="24" customWidth="1"/>
    <col min="1296" max="1296" width="10.58203125" style="24" customWidth="1"/>
    <col min="1297" max="1297" width="7.83203125" style="24" customWidth="1"/>
    <col min="1298" max="1536" width="9" style="24"/>
    <col min="1537" max="1537" width="8.25" style="24" bestFit="1" customWidth="1"/>
    <col min="1538" max="1538" width="6.5" style="24" customWidth="1"/>
    <col min="1539" max="1539" width="3.08203125" style="24" customWidth="1"/>
    <col min="1540" max="1540" width="8.25" style="24" bestFit="1" customWidth="1"/>
    <col min="1541" max="1541" width="6.5" style="24" customWidth="1"/>
    <col min="1542" max="1542" width="3.08203125" style="24" customWidth="1"/>
    <col min="1543" max="1543" width="8.25" style="24" bestFit="1" customWidth="1"/>
    <col min="1544" max="1544" width="6.5" style="24" customWidth="1"/>
    <col min="1545" max="1545" width="3.33203125" style="24" customWidth="1"/>
    <col min="1546" max="1546" width="9.08203125" style="24" bestFit="1" customWidth="1"/>
    <col min="1547" max="1547" width="6.5" style="24" customWidth="1"/>
    <col min="1548" max="1548" width="3.5" style="24" customWidth="1"/>
    <col min="1549" max="1549" width="10.5" style="24" customWidth="1"/>
    <col min="1550" max="1550" width="6.5" style="24" customWidth="1"/>
    <col min="1551" max="1551" width="3.5" style="24" customWidth="1"/>
    <col min="1552" max="1552" width="10.58203125" style="24" customWidth="1"/>
    <col min="1553" max="1553" width="7.83203125" style="24" customWidth="1"/>
    <col min="1554" max="1792" width="9" style="24"/>
    <col min="1793" max="1793" width="8.25" style="24" bestFit="1" customWidth="1"/>
    <col min="1794" max="1794" width="6.5" style="24" customWidth="1"/>
    <col min="1795" max="1795" width="3.08203125" style="24" customWidth="1"/>
    <col min="1796" max="1796" width="8.25" style="24" bestFit="1" customWidth="1"/>
    <col min="1797" max="1797" width="6.5" style="24" customWidth="1"/>
    <col min="1798" max="1798" width="3.08203125" style="24" customWidth="1"/>
    <col min="1799" max="1799" width="8.25" style="24" bestFit="1" customWidth="1"/>
    <col min="1800" max="1800" width="6.5" style="24" customWidth="1"/>
    <col min="1801" max="1801" width="3.33203125" style="24" customWidth="1"/>
    <col min="1802" max="1802" width="9.08203125" style="24" bestFit="1" customWidth="1"/>
    <col min="1803" max="1803" width="6.5" style="24" customWidth="1"/>
    <col min="1804" max="1804" width="3.5" style="24" customWidth="1"/>
    <col min="1805" max="1805" width="10.5" style="24" customWidth="1"/>
    <col min="1806" max="1806" width="6.5" style="24" customWidth="1"/>
    <col min="1807" max="1807" width="3.5" style="24" customWidth="1"/>
    <col min="1808" max="1808" width="10.58203125" style="24" customWidth="1"/>
    <col min="1809" max="1809" width="7.83203125" style="24" customWidth="1"/>
    <col min="1810" max="2048" width="9" style="24"/>
    <col min="2049" max="2049" width="8.25" style="24" bestFit="1" customWidth="1"/>
    <col min="2050" max="2050" width="6.5" style="24" customWidth="1"/>
    <col min="2051" max="2051" width="3.08203125" style="24" customWidth="1"/>
    <col min="2052" max="2052" width="8.25" style="24" bestFit="1" customWidth="1"/>
    <col min="2053" max="2053" width="6.5" style="24" customWidth="1"/>
    <col min="2054" max="2054" width="3.08203125" style="24" customWidth="1"/>
    <col min="2055" max="2055" width="8.25" style="24" bestFit="1" customWidth="1"/>
    <col min="2056" max="2056" width="6.5" style="24" customWidth="1"/>
    <col min="2057" max="2057" width="3.33203125" style="24" customWidth="1"/>
    <col min="2058" max="2058" width="9.08203125" style="24" bestFit="1" customWidth="1"/>
    <col min="2059" max="2059" width="6.5" style="24" customWidth="1"/>
    <col min="2060" max="2060" width="3.5" style="24" customWidth="1"/>
    <col min="2061" max="2061" width="10.5" style="24" customWidth="1"/>
    <col min="2062" max="2062" width="6.5" style="24" customWidth="1"/>
    <col min="2063" max="2063" width="3.5" style="24" customWidth="1"/>
    <col min="2064" max="2064" width="10.58203125" style="24" customWidth="1"/>
    <col min="2065" max="2065" width="7.83203125" style="24" customWidth="1"/>
    <col min="2066" max="2304" width="9" style="24"/>
    <col min="2305" max="2305" width="8.25" style="24" bestFit="1" customWidth="1"/>
    <col min="2306" max="2306" width="6.5" style="24" customWidth="1"/>
    <col min="2307" max="2307" width="3.08203125" style="24" customWidth="1"/>
    <col min="2308" max="2308" width="8.25" style="24" bestFit="1" customWidth="1"/>
    <col min="2309" max="2309" width="6.5" style="24" customWidth="1"/>
    <col min="2310" max="2310" width="3.08203125" style="24" customWidth="1"/>
    <col min="2311" max="2311" width="8.25" style="24" bestFit="1" customWidth="1"/>
    <col min="2312" max="2312" width="6.5" style="24" customWidth="1"/>
    <col min="2313" max="2313" width="3.33203125" style="24" customWidth="1"/>
    <col min="2314" max="2314" width="9.08203125" style="24" bestFit="1" customWidth="1"/>
    <col min="2315" max="2315" width="6.5" style="24" customWidth="1"/>
    <col min="2316" max="2316" width="3.5" style="24" customWidth="1"/>
    <col min="2317" max="2317" width="10.5" style="24" customWidth="1"/>
    <col min="2318" max="2318" width="6.5" style="24" customWidth="1"/>
    <col min="2319" max="2319" width="3.5" style="24" customWidth="1"/>
    <col min="2320" max="2320" width="10.58203125" style="24" customWidth="1"/>
    <col min="2321" max="2321" width="7.83203125" style="24" customWidth="1"/>
    <col min="2322" max="2560" width="9" style="24"/>
    <col min="2561" max="2561" width="8.25" style="24" bestFit="1" customWidth="1"/>
    <col min="2562" max="2562" width="6.5" style="24" customWidth="1"/>
    <col min="2563" max="2563" width="3.08203125" style="24" customWidth="1"/>
    <col min="2564" max="2564" width="8.25" style="24" bestFit="1" customWidth="1"/>
    <col min="2565" max="2565" width="6.5" style="24" customWidth="1"/>
    <col min="2566" max="2566" width="3.08203125" style="24" customWidth="1"/>
    <col min="2567" max="2567" width="8.25" style="24" bestFit="1" customWidth="1"/>
    <col min="2568" max="2568" width="6.5" style="24" customWidth="1"/>
    <col min="2569" max="2569" width="3.33203125" style="24" customWidth="1"/>
    <col min="2570" max="2570" width="9.08203125" style="24" bestFit="1" customWidth="1"/>
    <col min="2571" max="2571" width="6.5" style="24" customWidth="1"/>
    <col min="2572" max="2572" width="3.5" style="24" customWidth="1"/>
    <col min="2573" max="2573" width="10.5" style="24" customWidth="1"/>
    <col min="2574" max="2574" width="6.5" style="24" customWidth="1"/>
    <col min="2575" max="2575" width="3.5" style="24" customWidth="1"/>
    <col min="2576" max="2576" width="10.58203125" style="24" customWidth="1"/>
    <col min="2577" max="2577" width="7.83203125" style="24" customWidth="1"/>
    <col min="2578" max="2816" width="9" style="24"/>
    <col min="2817" max="2817" width="8.25" style="24" bestFit="1" customWidth="1"/>
    <col min="2818" max="2818" width="6.5" style="24" customWidth="1"/>
    <col min="2819" max="2819" width="3.08203125" style="24" customWidth="1"/>
    <col min="2820" max="2820" width="8.25" style="24" bestFit="1" customWidth="1"/>
    <col min="2821" max="2821" width="6.5" style="24" customWidth="1"/>
    <col min="2822" max="2822" width="3.08203125" style="24" customWidth="1"/>
    <col min="2823" max="2823" width="8.25" style="24" bestFit="1" customWidth="1"/>
    <col min="2824" max="2824" width="6.5" style="24" customWidth="1"/>
    <col min="2825" max="2825" width="3.33203125" style="24" customWidth="1"/>
    <col min="2826" max="2826" width="9.08203125" style="24" bestFit="1" customWidth="1"/>
    <col min="2827" max="2827" width="6.5" style="24" customWidth="1"/>
    <col min="2828" max="2828" width="3.5" style="24" customWidth="1"/>
    <col min="2829" max="2829" width="10.5" style="24" customWidth="1"/>
    <col min="2830" max="2830" width="6.5" style="24" customWidth="1"/>
    <col min="2831" max="2831" width="3.5" style="24" customWidth="1"/>
    <col min="2832" max="2832" width="10.58203125" style="24" customWidth="1"/>
    <col min="2833" max="2833" width="7.83203125" style="24" customWidth="1"/>
    <col min="2834" max="3072" width="9" style="24"/>
    <col min="3073" max="3073" width="8.25" style="24" bestFit="1" customWidth="1"/>
    <col min="3074" max="3074" width="6.5" style="24" customWidth="1"/>
    <col min="3075" max="3075" width="3.08203125" style="24" customWidth="1"/>
    <col min="3076" max="3076" width="8.25" style="24" bestFit="1" customWidth="1"/>
    <col min="3077" max="3077" width="6.5" style="24" customWidth="1"/>
    <col min="3078" max="3078" width="3.08203125" style="24" customWidth="1"/>
    <col min="3079" max="3079" width="8.25" style="24" bestFit="1" customWidth="1"/>
    <col min="3080" max="3080" width="6.5" style="24" customWidth="1"/>
    <col min="3081" max="3081" width="3.33203125" style="24" customWidth="1"/>
    <col min="3082" max="3082" width="9.08203125" style="24" bestFit="1" customWidth="1"/>
    <col min="3083" max="3083" width="6.5" style="24" customWidth="1"/>
    <col min="3084" max="3084" width="3.5" style="24" customWidth="1"/>
    <col min="3085" max="3085" width="10.5" style="24" customWidth="1"/>
    <col min="3086" max="3086" width="6.5" style="24" customWidth="1"/>
    <col min="3087" max="3087" width="3.5" style="24" customWidth="1"/>
    <col min="3088" max="3088" width="10.58203125" style="24" customWidth="1"/>
    <col min="3089" max="3089" width="7.83203125" style="24" customWidth="1"/>
    <col min="3090" max="3328" width="9" style="24"/>
    <col min="3329" max="3329" width="8.25" style="24" bestFit="1" customWidth="1"/>
    <col min="3330" max="3330" width="6.5" style="24" customWidth="1"/>
    <col min="3331" max="3331" width="3.08203125" style="24" customWidth="1"/>
    <col min="3332" max="3332" width="8.25" style="24" bestFit="1" customWidth="1"/>
    <col min="3333" max="3333" width="6.5" style="24" customWidth="1"/>
    <col min="3334" max="3334" width="3.08203125" style="24" customWidth="1"/>
    <col min="3335" max="3335" width="8.25" style="24" bestFit="1" customWidth="1"/>
    <col min="3336" max="3336" width="6.5" style="24" customWidth="1"/>
    <col min="3337" max="3337" width="3.33203125" style="24" customWidth="1"/>
    <col min="3338" max="3338" width="9.08203125" style="24" bestFit="1" customWidth="1"/>
    <col min="3339" max="3339" width="6.5" style="24" customWidth="1"/>
    <col min="3340" max="3340" width="3.5" style="24" customWidth="1"/>
    <col min="3341" max="3341" width="10.5" style="24" customWidth="1"/>
    <col min="3342" max="3342" width="6.5" style="24" customWidth="1"/>
    <col min="3343" max="3343" width="3.5" style="24" customWidth="1"/>
    <col min="3344" max="3344" width="10.58203125" style="24" customWidth="1"/>
    <col min="3345" max="3345" width="7.83203125" style="24" customWidth="1"/>
    <col min="3346" max="3584" width="9" style="24"/>
    <col min="3585" max="3585" width="8.25" style="24" bestFit="1" customWidth="1"/>
    <col min="3586" max="3586" width="6.5" style="24" customWidth="1"/>
    <col min="3587" max="3587" width="3.08203125" style="24" customWidth="1"/>
    <col min="3588" max="3588" width="8.25" style="24" bestFit="1" customWidth="1"/>
    <col min="3589" max="3589" width="6.5" style="24" customWidth="1"/>
    <col min="3590" max="3590" width="3.08203125" style="24" customWidth="1"/>
    <col min="3591" max="3591" width="8.25" style="24" bestFit="1" customWidth="1"/>
    <col min="3592" max="3592" width="6.5" style="24" customWidth="1"/>
    <col min="3593" max="3593" width="3.33203125" style="24" customWidth="1"/>
    <col min="3594" max="3594" width="9.08203125" style="24" bestFit="1" customWidth="1"/>
    <col min="3595" max="3595" width="6.5" style="24" customWidth="1"/>
    <col min="3596" max="3596" width="3.5" style="24" customWidth="1"/>
    <col min="3597" max="3597" width="10.5" style="24" customWidth="1"/>
    <col min="3598" max="3598" width="6.5" style="24" customWidth="1"/>
    <col min="3599" max="3599" width="3.5" style="24" customWidth="1"/>
    <col min="3600" max="3600" width="10.58203125" style="24" customWidth="1"/>
    <col min="3601" max="3601" width="7.83203125" style="24" customWidth="1"/>
    <col min="3602" max="3840" width="9" style="24"/>
    <col min="3841" max="3841" width="8.25" style="24" bestFit="1" customWidth="1"/>
    <col min="3842" max="3842" width="6.5" style="24" customWidth="1"/>
    <col min="3843" max="3843" width="3.08203125" style="24" customWidth="1"/>
    <col min="3844" max="3844" width="8.25" style="24" bestFit="1" customWidth="1"/>
    <col min="3845" max="3845" width="6.5" style="24" customWidth="1"/>
    <col min="3846" max="3846" width="3.08203125" style="24" customWidth="1"/>
    <col min="3847" max="3847" width="8.25" style="24" bestFit="1" customWidth="1"/>
    <col min="3848" max="3848" width="6.5" style="24" customWidth="1"/>
    <col min="3849" max="3849" width="3.33203125" style="24" customWidth="1"/>
    <col min="3850" max="3850" width="9.08203125" style="24" bestFit="1" customWidth="1"/>
    <col min="3851" max="3851" width="6.5" style="24" customWidth="1"/>
    <col min="3852" max="3852" width="3.5" style="24" customWidth="1"/>
    <col min="3853" max="3853" width="10.5" style="24" customWidth="1"/>
    <col min="3854" max="3854" width="6.5" style="24" customWidth="1"/>
    <col min="3855" max="3855" width="3.5" style="24" customWidth="1"/>
    <col min="3856" max="3856" width="10.58203125" style="24" customWidth="1"/>
    <col min="3857" max="3857" width="7.83203125" style="24" customWidth="1"/>
    <col min="3858" max="4096" width="9" style="24"/>
    <col min="4097" max="4097" width="8.25" style="24" bestFit="1" customWidth="1"/>
    <col min="4098" max="4098" width="6.5" style="24" customWidth="1"/>
    <col min="4099" max="4099" width="3.08203125" style="24" customWidth="1"/>
    <col min="4100" max="4100" width="8.25" style="24" bestFit="1" customWidth="1"/>
    <col min="4101" max="4101" width="6.5" style="24" customWidth="1"/>
    <col min="4102" max="4102" width="3.08203125" style="24" customWidth="1"/>
    <col min="4103" max="4103" width="8.25" style="24" bestFit="1" customWidth="1"/>
    <col min="4104" max="4104" width="6.5" style="24" customWidth="1"/>
    <col min="4105" max="4105" width="3.33203125" style="24" customWidth="1"/>
    <col min="4106" max="4106" width="9.08203125" style="24" bestFit="1" customWidth="1"/>
    <col min="4107" max="4107" width="6.5" style="24" customWidth="1"/>
    <col min="4108" max="4108" width="3.5" style="24" customWidth="1"/>
    <col min="4109" max="4109" width="10.5" style="24" customWidth="1"/>
    <col min="4110" max="4110" width="6.5" style="24" customWidth="1"/>
    <col min="4111" max="4111" width="3.5" style="24" customWidth="1"/>
    <col min="4112" max="4112" width="10.58203125" style="24" customWidth="1"/>
    <col min="4113" max="4113" width="7.83203125" style="24" customWidth="1"/>
    <col min="4114" max="4352" width="9" style="24"/>
    <col min="4353" max="4353" width="8.25" style="24" bestFit="1" customWidth="1"/>
    <col min="4354" max="4354" width="6.5" style="24" customWidth="1"/>
    <col min="4355" max="4355" width="3.08203125" style="24" customWidth="1"/>
    <col min="4356" max="4356" width="8.25" style="24" bestFit="1" customWidth="1"/>
    <col min="4357" max="4357" width="6.5" style="24" customWidth="1"/>
    <col min="4358" max="4358" width="3.08203125" style="24" customWidth="1"/>
    <col min="4359" max="4359" width="8.25" style="24" bestFit="1" customWidth="1"/>
    <col min="4360" max="4360" width="6.5" style="24" customWidth="1"/>
    <col min="4361" max="4361" width="3.33203125" style="24" customWidth="1"/>
    <col min="4362" max="4362" width="9.08203125" style="24" bestFit="1" customWidth="1"/>
    <col min="4363" max="4363" width="6.5" style="24" customWidth="1"/>
    <col min="4364" max="4364" width="3.5" style="24" customWidth="1"/>
    <col min="4365" max="4365" width="10.5" style="24" customWidth="1"/>
    <col min="4366" max="4366" width="6.5" style="24" customWidth="1"/>
    <col min="4367" max="4367" width="3.5" style="24" customWidth="1"/>
    <col min="4368" max="4368" width="10.58203125" style="24" customWidth="1"/>
    <col min="4369" max="4369" width="7.83203125" style="24" customWidth="1"/>
    <col min="4370" max="4608" width="9" style="24"/>
    <col min="4609" max="4609" width="8.25" style="24" bestFit="1" customWidth="1"/>
    <col min="4610" max="4610" width="6.5" style="24" customWidth="1"/>
    <col min="4611" max="4611" width="3.08203125" style="24" customWidth="1"/>
    <col min="4612" max="4612" width="8.25" style="24" bestFit="1" customWidth="1"/>
    <col min="4613" max="4613" width="6.5" style="24" customWidth="1"/>
    <col min="4614" max="4614" width="3.08203125" style="24" customWidth="1"/>
    <col min="4615" max="4615" width="8.25" style="24" bestFit="1" customWidth="1"/>
    <col min="4616" max="4616" width="6.5" style="24" customWidth="1"/>
    <col min="4617" max="4617" width="3.33203125" style="24" customWidth="1"/>
    <col min="4618" max="4618" width="9.08203125" style="24" bestFit="1" customWidth="1"/>
    <col min="4619" max="4619" width="6.5" style="24" customWidth="1"/>
    <col min="4620" max="4620" width="3.5" style="24" customWidth="1"/>
    <col min="4621" max="4621" width="10.5" style="24" customWidth="1"/>
    <col min="4622" max="4622" width="6.5" style="24" customWidth="1"/>
    <col min="4623" max="4623" width="3.5" style="24" customWidth="1"/>
    <col min="4624" max="4624" width="10.58203125" style="24" customWidth="1"/>
    <col min="4625" max="4625" width="7.83203125" style="24" customWidth="1"/>
    <col min="4626" max="4864" width="9" style="24"/>
    <col min="4865" max="4865" width="8.25" style="24" bestFit="1" customWidth="1"/>
    <col min="4866" max="4866" width="6.5" style="24" customWidth="1"/>
    <col min="4867" max="4867" width="3.08203125" style="24" customWidth="1"/>
    <col min="4868" max="4868" width="8.25" style="24" bestFit="1" customWidth="1"/>
    <col min="4869" max="4869" width="6.5" style="24" customWidth="1"/>
    <col min="4870" max="4870" width="3.08203125" style="24" customWidth="1"/>
    <col min="4871" max="4871" width="8.25" style="24" bestFit="1" customWidth="1"/>
    <col min="4872" max="4872" width="6.5" style="24" customWidth="1"/>
    <col min="4873" max="4873" width="3.33203125" style="24" customWidth="1"/>
    <col min="4874" max="4874" width="9.08203125" style="24" bestFit="1" customWidth="1"/>
    <col min="4875" max="4875" width="6.5" style="24" customWidth="1"/>
    <col min="4876" max="4876" width="3.5" style="24" customWidth="1"/>
    <col min="4877" max="4877" width="10.5" style="24" customWidth="1"/>
    <col min="4878" max="4878" width="6.5" style="24" customWidth="1"/>
    <col min="4879" max="4879" width="3.5" style="24" customWidth="1"/>
    <col min="4880" max="4880" width="10.58203125" style="24" customWidth="1"/>
    <col min="4881" max="4881" width="7.83203125" style="24" customWidth="1"/>
    <col min="4882" max="5120" width="9" style="24"/>
    <col min="5121" max="5121" width="8.25" style="24" bestFit="1" customWidth="1"/>
    <col min="5122" max="5122" width="6.5" style="24" customWidth="1"/>
    <col min="5123" max="5123" width="3.08203125" style="24" customWidth="1"/>
    <col min="5124" max="5124" width="8.25" style="24" bestFit="1" customWidth="1"/>
    <col min="5125" max="5125" width="6.5" style="24" customWidth="1"/>
    <col min="5126" max="5126" width="3.08203125" style="24" customWidth="1"/>
    <col min="5127" max="5127" width="8.25" style="24" bestFit="1" customWidth="1"/>
    <col min="5128" max="5128" width="6.5" style="24" customWidth="1"/>
    <col min="5129" max="5129" width="3.33203125" style="24" customWidth="1"/>
    <col min="5130" max="5130" width="9.08203125" style="24" bestFit="1" customWidth="1"/>
    <col min="5131" max="5131" width="6.5" style="24" customWidth="1"/>
    <col min="5132" max="5132" width="3.5" style="24" customWidth="1"/>
    <col min="5133" max="5133" width="10.5" style="24" customWidth="1"/>
    <col min="5134" max="5134" width="6.5" style="24" customWidth="1"/>
    <col min="5135" max="5135" width="3.5" style="24" customWidth="1"/>
    <col min="5136" max="5136" width="10.58203125" style="24" customWidth="1"/>
    <col min="5137" max="5137" width="7.83203125" style="24" customWidth="1"/>
    <col min="5138" max="5376" width="9" style="24"/>
    <col min="5377" max="5377" width="8.25" style="24" bestFit="1" customWidth="1"/>
    <col min="5378" max="5378" width="6.5" style="24" customWidth="1"/>
    <col min="5379" max="5379" width="3.08203125" style="24" customWidth="1"/>
    <col min="5380" max="5380" width="8.25" style="24" bestFit="1" customWidth="1"/>
    <col min="5381" max="5381" width="6.5" style="24" customWidth="1"/>
    <col min="5382" max="5382" width="3.08203125" style="24" customWidth="1"/>
    <col min="5383" max="5383" width="8.25" style="24" bestFit="1" customWidth="1"/>
    <col min="5384" max="5384" width="6.5" style="24" customWidth="1"/>
    <col min="5385" max="5385" width="3.33203125" style="24" customWidth="1"/>
    <col min="5386" max="5386" width="9.08203125" style="24" bestFit="1" customWidth="1"/>
    <col min="5387" max="5387" width="6.5" style="24" customWidth="1"/>
    <col min="5388" max="5388" width="3.5" style="24" customWidth="1"/>
    <col min="5389" max="5389" width="10.5" style="24" customWidth="1"/>
    <col min="5390" max="5390" width="6.5" style="24" customWidth="1"/>
    <col min="5391" max="5391" width="3.5" style="24" customWidth="1"/>
    <col min="5392" max="5392" width="10.58203125" style="24" customWidth="1"/>
    <col min="5393" max="5393" width="7.83203125" style="24" customWidth="1"/>
    <col min="5394" max="5632" width="9" style="24"/>
    <col min="5633" max="5633" width="8.25" style="24" bestFit="1" customWidth="1"/>
    <col min="5634" max="5634" width="6.5" style="24" customWidth="1"/>
    <col min="5635" max="5635" width="3.08203125" style="24" customWidth="1"/>
    <col min="5636" max="5636" width="8.25" style="24" bestFit="1" customWidth="1"/>
    <col min="5637" max="5637" width="6.5" style="24" customWidth="1"/>
    <col min="5638" max="5638" width="3.08203125" style="24" customWidth="1"/>
    <col min="5639" max="5639" width="8.25" style="24" bestFit="1" customWidth="1"/>
    <col min="5640" max="5640" width="6.5" style="24" customWidth="1"/>
    <col min="5641" max="5641" width="3.33203125" style="24" customWidth="1"/>
    <col min="5642" max="5642" width="9.08203125" style="24" bestFit="1" customWidth="1"/>
    <col min="5643" max="5643" width="6.5" style="24" customWidth="1"/>
    <col min="5644" max="5644" width="3.5" style="24" customWidth="1"/>
    <col min="5645" max="5645" width="10.5" style="24" customWidth="1"/>
    <col min="5646" max="5646" width="6.5" style="24" customWidth="1"/>
    <col min="5647" max="5647" width="3.5" style="24" customWidth="1"/>
    <col min="5648" max="5648" width="10.58203125" style="24" customWidth="1"/>
    <col min="5649" max="5649" width="7.83203125" style="24" customWidth="1"/>
    <col min="5650" max="5888" width="9" style="24"/>
    <col min="5889" max="5889" width="8.25" style="24" bestFit="1" customWidth="1"/>
    <col min="5890" max="5890" width="6.5" style="24" customWidth="1"/>
    <col min="5891" max="5891" width="3.08203125" style="24" customWidth="1"/>
    <col min="5892" max="5892" width="8.25" style="24" bestFit="1" customWidth="1"/>
    <col min="5893" max="5893" width="6.5" style="24" customWidth="1"/>
    <col min="5894" max="5894" width="3.08203125" style="24" customWidth="1"/>
    <col min="5895" max="5895" width="8.25" style="24" bestFit="1" customWidth="1"/>
    <col min="5896" max="5896" width="6.5" style="24" customWidth="1"/>
    <col min="5897" max="5897" width="3.33203125" style="24" customWidth="1"/>
    <col min="5898" max="5898" width="9.08203125" style="24" bestFit="1" customWidth="1"/>
    <col min="5899" max="5899" width="6.5" style="24" customWidth="1"/>
    <col min="5900" max="5900" width="3.5" style="24" customWidth="1"/>
    <col min="5901" max="5901" width="10.5" style="24" customWidth="1"/>
    <col min="5902" max="5902" width="6.5" style="24" customWidth="1"/>
    <col min="5903" max="5903" width="3.5" style="24" customWidth="1"/>
    <col min="5904" max="5904" width="10.58203125" style="24" customWidth="1"/>
    <col min="5905" max="5905" width="7.83203125" style="24" customWidth="1"/>
    <col min="5906" max="6144" width="9" style="24"/>
    <col min="6145" max="6145" width="8.25" style="24" bestFit="1" customWidth="1"/>
    <col min="6146" max="6146" width="6.5" style="24" customWidth="1"/>
    <col min="6147" max="6147" width="3.08203125" style="24" customWidth="1"/>
    <col min="6148" max="6148" width="8.25" style="24" bestFit="1" customWidth="1"/>
    <col min="6149" max="6149" width="6.5" style="24" customWidth="1"/>
    <col min="6150" max="6150" width="3.08203125" style="24" customWidth="1"/>
    <col min="6151" max="6151" width="8.25" style="24" bestFit="1" customWidth="1"/>
    <col min="6152" max="6152" width="6.5" style="24" customWidth="1"/>
    <col min="6153" max="6153" width="3.33203125" style="24" customWidth="1"/>
    <col min="6154" max="6154" width="9.08203125" style="24" bestFit="1" customWidth="1"/>
    <col min="6155" max="6155" width="6.5" style="24" customWidth="1"/>
    <col min="6156" max="6156" width="3.5" style="24" customWidth="1"/>
    <col min="6157" max="6157" width="10.5" style="24" customWidth="1"/>
    <col min="6158" max="6158" width="6.5" style="24" customWidth="1"/>
    <col min="6159" max="6159" width="3.5" style="24" customWidth="1"/>
    <col min="6160" max="6160" width="10.58203125" style="24" customWidth="1"/>
    <col min="6161" max="6161" width="7.83203125" style="24" customWidth="1"/>
    <col min="6162" max="6400" width="9" style="24"/>
    <col min="6401" max="6401" width="8.25" style="24" bestFit="1" customWidth="1"/>
    <col min="6402" max="6402" width="6.5" style="24" customWidth="1"/>
    <col min="6403" max="6403" width="3.08203125" style="24" customWidth="1"/>
    <col min="6404" max="6404" width="8.25" style="24" bestFit="1" customWidth="1"/>
    <col min="6405" max="6405" width="6.5" style="24" customWidth="1"/>
    <col min="6406" max="6406" width="3.08203125" style="24" customWidth="1"/>
    <col min="6407" max="6407" width="8.25" style="24" bestFit="1" customWidth="1"/>
    <col min="6408" max="6408" width="6.5" style="24" customWidth="1"/>
    <col min="6409" max="6409" width="3.33203125" style="24" customWidth="1"/>
    <col min="6410" max="6410" width="9.08203125" style="24" bestFit="1" customWidth="1"/>
    <col min="6411" max="6411" width="6.5" style="24" customWidth="1"/>
    <col min="6412" max="6412" width="3.5" style="24" customWidth="1"/>
    <col min="6413" max="6413" width="10.5" style="24" customWidth="1"/>
    <col min="6414" max="6414" width="6.5" style="24" customWidth="1"/>
    <col min="6415" max="6415" width="3.5" style="24" customWidth="1"/>
    <col min="6416" max="6416" width="10.58203125" style="24" customWidth="1"/>
    <col min="6417" max="6417" width="7.83203125" style="24" customWidth="1"/>
    <col min="6418" max="6656" width="9" style="24"/>
    <col min="6657" max="6657" width="8.25" style="24" bestFit="1" customWidth="1"/>
    <col min="6658" max="6658" width="6.5" style="24" customWidth="1"/>
    <col min="6659" max="6659" width="3.08203125" style="24" customWidth="1"/>
    <col min="6660" max="6660" width="8.25" style="24" bestFit="1" customWidth="1"/>
    <col min="6661" max="6661" width="6.5" style="24" customWidth="1"/>
    <col min="6662" max="6662" width="3.08203125" style="24" customWidth="1"/>
    <col min="6663" max="6663" width="8.25" style="24" bestFit="1" customWidth="1"/>
    <col min="6664" max="6664" width="6.5" style="24" customWidth="1"/>
    <col min="6665" max="6665" width="3.33203125" style="24" customWidth="1"/>
    <col min="6666" max="6666" width="9.08203125" style="24" bestFit="1" customWidth="1"/>
    <col min="6667" max="6667" width="6.5" style="24" customWidth="1"/>
    <col min="6668" max="6668" width="3.5" style="24" customWidth="1"/>
    <col min="6669" max="6669" width="10.5" style="24" customWidth="1"/>
    <col min="6670" max="6670" width="6.5" style="24" customWidth="1"/>
    <col min="6671" max="6671" width="3.5" style="24" customWidth="1"/>
    <col min="6672" max="6672" width="10.58203125" style="24" customWidth="1"/>
    <col min="6673" max="6673" width="7.83203125" style="24" customWidth="1"/>
    <col min="6674" max="6912" width="9" style="24"/>
    <col min="6913" max="6913" width="8.25" style="24" bestFit="1" customWidth="1"/>
    <col min="6914" max="6914" width="6.5" style="24" customWidth="1"/>
    <col min="6915" max="6915" width="3.08203125" style="24" customWidth="1"/>
    <col min="6916" max="6916" width="8.25" style="24" bestFit="1" customWidth="1"/>
    <col min="6917" max="6917" width="6.5" style="24" customWidth="1"/>
    <col min="6918" max="6918" width="3.08203125" style="24" customWidth="1"/>
    <col min="6919" max="6919" width="8.25" style="24" bestFit="1" customWidth="1"/>
    <col min="6920" max="6920" width="6.5" style="24" customWidth="1"/>
    <col min="6921" max="6921" width="3.33203125" style="24" customWidth="1"/>
    <col min="6922" max="6922" width="9.08203125" style="24" bestFit="1" customWidth="1"/>
    <col min="6923" max="6923" width="6.5" style="24" customWidth="1"/>
    <col min="6924" max="6924" width="3.5" style="24" customWidth="1"/>
    <col min="6925" max="6925" width="10.5" style="24" customWidth="1"/>
    <col min="6926" max="6926" width="6.5" style="24" customWidth="1"/>
    <col min="6927" max="6927" width="3.5" style="24" customWidth="1"/>
    <col min="6928" max="6928" width="10.58203125" style="24" customWidth="1"/>
    <col min="6929" max="6929" width="7.83203125" style="24" customWidth="1"/>
    <col min="6930" max="7168" width="9" style="24"/>
    <col min="7169" max="7169" width="8.25" style="24" bestFit="1" customWidth="1"/>
    <col min="7170" max="7170" width="6.5" style="24" customWidth="1"/>
    <col min="7171" max="7171" width="3.08203125" style="24" customWidth="1"/>
    <col min="7172" max="7172" width="8.25" style="24" bestFit="1" customWidth="1"/>
    <col min="7173" max="7173" width="6.5" style="24" customWidth="1"/>
    <col min="7174" max="7174" width="3.08203125" style="24" customWidth="1"/>
    <col min="7175" max="7175" width="8.25" style="24" bestFit="1" customWidth="1"/>
    <col min="7176" max="7176" width="6.5" style="24" customWidth="1"/>
    <col min="7177" max="7177" width="3.33203125" style="24" customWidth="1"/>
    <col min="7178" max="7178" width="9.08203125" style="24" bestFit="1" customWidth="1"/>
    <col min="7179" max="7179" width="6.5" style="24" customWidth="1"/>
    <col min="7180" max="7180" width="3.5" style="24" customWidth="1"/>
    <col min="7181" max="7181" width="10.5" style="24" customWidth="1"/>
    <col min="7182" max="7182" width="6.5" style="24" customWidth="1"/>
    <col min="7183" max="7183" width="3.5" style="24" customWidth="1"/>
    <col min="7184" max="7184" width="10.58203125" style="24" customWidth="1"/>
    <col min="7185" max="7185" width="7.83203125" style="24" customWidth="1"/>
    <col min="7186" max="7424" width="9" style="24"/>
    <col min="7425" max="7425" width="8.25" style="24" bestFit="1" customWidth="1"/>
    <col min="7426" max="7426" width="6.5" style="24" customWidth="1"/>
    <col min="7427" max="7427" width="3.08203125" style="24" customWidth="1"/>
    <col min="7428" max="7428" width="8.25" style="24" bestFit="1" customWidth="1"/>
    <col min="7429" max="7429" width="6.5" style="24" customWidth="1"/>
    <col min="7430" max="7430" width="3.08203125" style="24" customWidth="1"/>
    <col min="7431" max="7431" width="8.25" style="24" bestFit="1" customWidth="1"/>
    <col min="7432" max="7432" width="6.5" style="24" customWidth="1"/>
    <col min="7433" max="7433" width="3.33203125" style="24" customWidth="1"/>
    <col min="7434" max="7434" width="9.08203125" style="24" bestFit="1" customWidth="1"/>
    <col min="7435" max="7435" width="6.5" style="24" customWidth="1"/>
    <col min="7436" max="7436" width="3.5" style="24" customWidth="1"/>
    <col min="7437" max="7437" width="10.5" style="24" customWidth="1"/>
    <col min="7438" max="7438" width="6.5" style="24" customWidth="1"/>
    <col min="7439" max="7439" width="3.5" style="24" customWidth="1"/>
    <col min="7440" max="7440" width="10.58203125" style="24" customWidth="1"/>
    <col min="7441" max="7441" width="7.83203125" style="24" customWidth="1"/>
    <col min="7442" max="7680" width="9" style="24"/>
    <col min="7681" max="7681" width="8.25" style="24" bestFit="1" customWidth="1"/>
    <col min="7682" max="7682" width="6.5" style="24" customWidth="1"/>
    <col min="7683" max="7683" width="3.08203125" style="24" customWidth="1"/>
    <col min="7684" max="7684" width="8.25" style="24" bestFit="1" customWidth="1"/>
    <col min="7685" max="7685" width="6.5" style="24" customWidth="1"/>
    <col min="7686" max="7686" width="3.08203125" style="24" customWidth="1"/>
    <col min="7687" max="7687" width="8.25" style="24" bestFit="1" customWidth="1"/>
    <col min="7688" max="7688" width="6.5" style="24" customWidth="1"/>
    <col min="7689" max="7689" width="3.33203125" style="24" customWidth="1"/>
    <col min="7690" max="7690" width="9.08203125" style="24" bestFit="1" customWidth="1"/>
    <col min="7691" max="7691" width="6.5" style="24" customWidth="1"/>
    <col min="7692" max="7692" width="3.5" style="24" customWidth="1"/>
    <col min="7693" max="7693" width="10.5" style="24" customWidth="1"/>
    <col min="7694" max="7694" width="6.5" style="24" customWidth="1"/>
    <col min="7695" max="7695" width="3.5" style="24" customWidth="1"/>
    <col min="7696" max="7696" width="10.58203125" style="24" customWidth="1"/>
    <col min="7697" max="7697" width="7.83203125" style="24" customWidth="1"/>
    <col min="7698" max="7936" width="9" style="24"/>
    <col min="7937" max="7937" width="8.25" style="24" bestFit="1" customWidth="1"/>
    <col min="7938" max="7938" width="6.5" style="24" customWidth="1"/>
    <col min="7939" max="7939" width="3.08203125" style="24" customWidth="1"/>
    <col min="7940" max="7940" width="8.25" style="24" bestFit="1" customWidth="1"/>
    <col min="7941" max="7941" width="6.5" style="24" customWidth="1"/>
    <col min="7942" max="7942" width="3.08203125" style="24" customWidth="1"/>
    <col min="7943" max="7943" width="8.25" style="24" bestFit="1" customWidth="1"/>
    <col min="7944" max="7944" width="6.5" style="24" customWidth="1"/>
    <col min="7945" max="7945" width="3.33203125" style="24" customWidth="1"/>
    <col min="7946" max="7946" width="9.08203125" style="24" bestFit="1" customWidth="1"/>
    <col min="7947" max="7947" width="6.5" style="24" customWidth="1"/>
    <col min="7948" max="7948" width="3.5" style="24" customWidth="1"/>
    <col min="7949" max="7949" width="10.5" style="24" customWidth="1"/>
    <col min="7950" max="7950" width="6.5" style="24" customWidth="1"/>
    <col min="7951" max="7951" width="3.5" style="24" customWidth="1"/>
    <col min="7952" max="7952" width="10.58203125" style="24" customWidth="1"/>
    <col min="7953" max="7953" width="7.83203125" style="24" customWidth="1"/>
    <col min="7954" max="8192" width="9" style="24"/>
    <col min="8193" max="8193" width="8.25" style="24" bestFit="1" customWidth="1"/>
    <col min="8194" max="8194" width="6.5" style="24" customWidth="1"/>
    <col min="8195" max="8195" width="3.08203125" style="24" customWidth="1"/>
    <col min="8196" max="8196" width="8.25" style="24" bestFit="1" customWidth="1"/>
    <col min="8197" max="8197" width="6.5" style="24" customWidth="1"/>
    <col min="8198" max="8198" width="3.08203125" style="24" customWidth="1"/>
    <col min="8199" max="8199" width="8.25" style="24" bestFit="1" customWidth="1"/>
    <col min="8200" max="8200" width="6.5" style="24" customWidth="1"/>
    <col min="8201" max="8201" width="3.33203125" style="24" customWidth="1"/>
    <col min="8202" max="8202" width="9.08203125" style="24" bestFit="1" customWidth="1"/>
    <col min="8203" max="8203" width="6.5" style="24" customWidth="1"/>
    <col min="8204" max="8204" width="3.5" style="24" customWidth="1"/>
    <col min="8205" max="8205" width="10.5" style="24" customWidth="1"/>
    <col min="8206" max="8206" width="6.5" style="24" customWidth="1"/>
    <col min="8207" max="8207" width="3.5" style="24" customWidth="1"/>
    <col min="8208" max="8208" width="10.58203125" style="24" customWidth="1"/>
    <col min="8209" max="8209" width="7.83203125" style="24" customWidth="1"/>
    <col min="8210" max="8448" width="9" style="24"/>
    <col min="8449" max="8449" width="8.25" style="24" bestFit="1" customWidth="1"/>
    <col min="8450" max="8450" width="6.5" style="24" customWidth="1"/>
    <col min="8451" max="8451" width="3.08203125" style="24" customWidth="1"/>
    <col min="8452" max="8452" width="8.25" style="24" bestFit="1" customWidth="1"/>
    <col min="8453" max="8453" width="6.5" style="24" customWidth="1"/>
    <col min="8454" max="8454" width="3.08203125" style="24" customWidth="1"/>
    <col min="8455" max="8455" width="8.25" style="24" bestFit="1" customWidth="1"/>
    <col min="8456" max="8456" width="6.5" style="24" customWidth="1"/>
    <col min="8457" max="8457" width="3.33203125" style="24" customWidth="1"/>
    <col min="8458" max="8458" width="9.08203125" style="24" bestFit="1" customWidth="1"/>
    <col min="8459" max="8459" width="6.5" style="24" customWidth="1"/>
    <col min="8460" max="8460" width="3.5" style="24" customWidth="1"/>
    <col min="8461" max="8461" width="10.5" style="24" customWidth="1"/>
    <col min="8462" max="8462" width="6.5" style="24" customWidth="1"/>
    <col min="8463" max="8463" width="3.5" style="24" customWidth="1"/>
    <col min="8464" max="8464" width="10.58203125" style="24" customWidth="1"/>
    <col min="8465" max="8465" width="7.83203125" style="24" customWidth="1"/>
    <col min="8466" max="8704" width="9" style="24"/>
    <col min="8705" max="8705" width="8.25" style="24" bestFit="1" customWidth="1"/>
    <col min="8706" max="8706" width="6.5" style="24" customWidth="1"/>
    <col min="8707" max="8707" width="3.08203125" style="24" customWidth="1"/>
    <col min="8708" max="8708" width="8.25" style="24" bestFit="1" customWidth="1"/>
    <col min="8709" max="8709" width="6.5" style="24" customWidth="1"/>
    <col min="8710" max="8710" width="3.08203125" style="24" customWidth="1"/>
    <col min="8711" max="8711" width="8.25" style="24" bestFit="1" customWidth="1"/>
    <col min="8712" max="8712" width="6.5" style="24" customWidth="1"/>
    <col min="8713" max="8713" width="3.33203125" style="24" customWidth="1"/>
    <col min="8714" max="8714" width="9.08203125" style="24" bestFit="1" customWidth="1"/>
    <col min="8715" max="8715" width="6.5" style="24" customWidth="1"/>
    <col min="8716" max="8716" width="3.5" style="24" customWidth="1"/>
    <col min="8717" max="8717" width="10.5" style="24" customWidth="1"/>
    <col min="8718" max="8718" width="6.5" style="24" customWidth="1"/>
    <col min="8719" max="8719" width="3.5" style="24" customWidth="1"/>
    <col min="8720" max="8720" width="10.58203125" style="24" customWidth="1"/>
    <col min="8721" max="8721" width="7.83203125" style="24" customWidth="1"/>
    <col min="8722" max="8960" width="9" style="24"/>
    <col min="8961" max="8961" width="8.25" style="24" bestFit="1" customWidth="1"/>
    <col min="8962" max="8962" width="6.5" style="24" customWidth="1"/>
    <col min="8963" max="8963" width="3.08203125" style="24" customWidth="1"/>
    <col min="8964" max="8964" width="8.25" style="24" bestFit="1" customWidth="1"/>
    <col min="8965" max="8965" width="6.5" style="24" customWidth="1"/>
    <col min="8966" max="8966" width="3.08203125" style="24" customWidth="1"/>
    <col min="8967" max="8967" width="8.25" style="24" bestFit="1" customWidth="1"/>
    <col min="8968" max="8968" width="6.5" style="24" customWidth="1"/>
    <col min="8969" max="8969" width="3.33203125" style="24" customWidth="1"/>
    <col min="8970" max="8970" width="9.08203125" style="24" bestFit="1" customWidth="1"/>
    <col min="8971" max="8971" width="6.5" style="24" customWidth="1"/>
    <col min="8972" max="8972" width="3.5" style="24" customWidth="1"/>
    <col min="8973" max="8973" width="10.5" style="24" customWidth="1"/>
    <col min="8974" max="8974" width="6.5" style="24" customWidth="1"/>
    <col min="8975" max="8975" width="3.5" style="24" customWidth="1"/>
    <col min="8976" max="8976" width="10.58203125" style="24" customWidth="1"/>
    <col min="8977" max="8977" width="7.83203125" style="24" customWidth="1"/>
    <col min="8978" max="9216" width="9" style="24"/>
    <col min="9217" max="9217" width="8.25" style="24" bestFit="1" customWidth="1"/>
    <col min="9218" max="9218" width="6.5" style="24" customWidth="1"/>
    <col min="9219" max="9219" width="3.08203125" style="24" customWidth="1"/>
    <col min="9220" max="9220" width="8.25" style="24" bestFit="1" customWidth="1"/>
    <col min="9221" max="9221" width="6.5" style="24" customWidth="1"/>
    <col min="9222" max="9222" width="3.08203125" style="24" customWidth="1"/>
    <col min="9223" max="9223" width="8.25" style="24" bestFit="1" customWidth="1"/>
    <col min="9224" max="9224" width="6.5" style="24" customWidth="1"/>
    <col min="9225" max="9225" width="3.33203125" style="24" customWidth="1"/>
    <col min="9226" max="9226" width="9.08203125" style="24" bestFit="1" customWidth="1"/>
    <col min="9227" max="9227" width="6.5" style="24" customWidth="1"/>
    <col min="9228" max="9228" width="3.5" style="24" customWidth="1"/>
    <col min="9229" max="9229" width="10.5" style="24" customWidth="1"/>
    <col min="9230" max="9230" width="6.5" style="24" customWidth="1"/>
    <col min="9231" max="9231" width="3.5" style="24" customWidth="1"/>
    <col min="9232" max="9232" width="10.58203125" style="24" customWidth="1"/>
    <col min="9233" max="9233" width="7.83203125" style="24" customWidth="1"/>
    <col min="9234" max="9472" width="9" style="24"/>
    <col min="9473" max="9473" width="8.25" style="24" bestFit="1" customWidth="1"/>
    <col min="9474" max="9474" width="6.5" style="24" customWidth="1"/>
    <col min="9475" max="9475" width="3.08203125" style="24" customWidth="1"/>
    <col min="9476" max="9476" width="8.25" style="24" bestFit="1" customWidth="1"/>
    <col min="9477" max="9477" width="6.5" style="24" customWidth="1"/>
    <col min="9478" max="9478" width="3.08203125" style="24" customWidth="1"/>
    <col min="9479" max="9479" width="8.25" style="24" bestFit="1" customWidth="1"/>
    <col min="9480" max="9480" width="6.5" style="24" customWidth="1"/>
    <col min="9481" max="9481" width="3.33203125" style="24" customWidth="1"/>
    <col min="9482" max="9482" width="9.08203125" style="24" bestFit="1" customWidth="1"/>
    <col min="9483" max="9483" width="6.5" style="24" customWidth="1"/>
    <col min="9484" max="9484" width="3.5" style="24" customWidth="1"/>
    <col min="9485" max="9485" width="10.5" style="24" customWidth="1"/>
    <col min="9486" max="9486" width="6.5" style="24" customWidth="1"/>
    <col min="9487" max="9487" width="3.5" style="24" customWidth="1"/>
    <col min="9488" max="9488" width="10.58203125" style="24" customWidth="1"/>
    <col min="9489" max="9489" width="7.83203125" style="24" customWidth="1"/>
    <col min="9490" max="9728" width="9" style="24"/>
    <col min="9729" max="9729" width="8.25" style="24" bestFit="1" customWidth="1"/>
    <col min="9730" max="9730" width="6.5" style="24" customWidth="1"/>
    <col min="9731" max="9731" width="3.08203125" style="24" customWidth="1"/>
    <col min="9732" max="9732" width="8.25" style="24" bestFit="1" customWidth="1"/>
    <col min="9733" max="9733" width="6.5" style="24" customWidth="1"/>
    <col min="9734" max="9734" width="3.08203125" style="24" customWidth="1"/>
    <col min="9735" max="9735" width="8.25" style="24" bestFit="1" customWidth="1"/>
    <col min="9736" max="9736" width="6.5" style="24" customWidth="1"/>
    <col min="9737" max="9737" width="3.33203125" style="24" customWidth="1"/>
    <col min="9738" max="9738" width="9.08203125" style="24" bestFit="1" customWidth="1"/>
    <col min="9739" max="9739" width="6.5" style="24" customWidth="1"/>
    <col min="9740" max="9740" width="3.5" style="24" customWidth="1"/>
    <col min="9741" max="9741" width="10.5" style="24" customWidth="1"/>
    <col min="9742" max="9742" width="6.5" style="24" customWidth="1"/>
    <col min="9743" max="9743" width="3.5" style="24" customWidth="1"/>
    <col min="9744" max="9744" width="10.58203125" style="24" customWidth="1"/>
    <col min="9745" max="9745" width="7.83203125" style="24" customWidth="1"/>
    <col min="9746" max="9984" width="9" style="24"/>
    <col min="9985" max="9985" width="8.25" style="24" bestFit="1" customWidth="1"/>
    <col min="9986" max="9986" width="6.5" style="24" customWidth="1"/>
    <col min="9987" max="9987" width="3.08203125" style="24" customWidth="1"/>
    <col min="9988" max="9988" width="8.25" style="24" bestFit="1" customWidth="1"/>
    <col min="9989" max="9989" width="6.5" style="24" customWidth="1"/>
    <col min="9990" max="9990" width="3.08203125" style="24" customWidth="1"/>
    <col min="9991" max="9991" width="8.25" style="24" bestFit="1" customWidth="1"/>
    <col min="9992" max="9992" width="6.5" style="24" customWidth="1"/>
    <col min="9993" max="9993" width="3.33203125" style="24" customWidth="1"/>
    <col min="9994" max="9994" width="9.08203125" style="24" bestFit="1" customWidth="1"/>
    <col min="9995" max="9995" width="6.5" style="24" customWidth="1"/>
    <col min="9996" max="9996" width="3.5" style="24" customWidth="1"/>
    <col min="9997" max="9997" width="10.5" style="24" customWidth="1"/>
    <col min="9998" max="9998" width="6.5" style="24" customWidth="1"/>
    <col min="9999" max="9999" width="3.5" style="24" customWidth="1"/>
    <col min="10000" max="10000" width="10.58203125" style="24" customWidth="1"/>
    <col min="10001" max="10001" width="7.83203125" style="24" customWidth="1"/>
    <col min="10002" max="10240" width="9" style="24"/>
    <col min="10241" max="10241" width="8.25" style="24" bestFit="1" customWidth="1"/>
    <col min="10242" max="10242" width="6.5" style="24" customWidth="1"/>
    <col min="10243" max="10243" width="3.08203125" style="24" customWidth="1"/>
    <col min="10244" max="10244" width="8.25" style="24" bestFit="1" customWidth="1"/>
    <col min="10245" max="10245" width="6.5" style="24" customWidth="1"/>
    <col min="10246" max="10246" width="3.08203125" style="24" customWidth="1"/>
    <col min="10247" max="10247" width="8.25" style="24" bestFit="1" customWidth="1"/>
    <col min="10248" max="10248" width="6.5" style="24" customWidth="1"/>
    <col min="10249" max="10249" width="3.33203125" style="24" customWidth="1"/>
    <col min="10250" max="10250" width="9.08203125" style="24" bestFit="1" customWidth="1"/>
    <col min="10251" max="10251" width="6.5" style="24" customWidth="1"/>
    <col min="10252" max="10252" width="3.5" style="24" customWidth="1"/>
    <col min="10253" max="10253" width="10.5" style="24" customWidth="1"/>
    <col min="10254" max="10254" width="6.5" style="24" customWidth="1"/>
    <col min="10255" max="10255" width="3.5" style="24" customWidth="1"/>
    <col min="10256" max="10256" width="10.58203125" style="24" customWidth="1"/>
    <col min="10257" max="10257" width="7.83203125" style="24" customWidth="1"/>
    <col min="10258" max="10496" width="9" style="24"/>
    <col min="10497" max="10497" width="8.25" style="24" bestFit="1" customWidth="1"/>
    <col min="10498" max="10498" width="6.5" style="24" customWidth="1"/>
    <col min="10499" max="10499" width="3.08203125" style="24" customWidth="1"/>
    <col min="10500" max="10500" width="8.25" style="24" bestFit="1" customWidth="1"/>
    <col min="10501" max="10501" width="6.5" style="24" customWidth="1"/>
    <col min="10502" max="10502" width="3.08203125" style="24" customWidth="1"/>
    <col min="10503" max="10503" width="8.25" style="24" bestFit="1" customWidth="1"/>
    <col min="10504" max="10504" width="6.5" style="24" customWidth="1"/>
    <col min="10505" max="10505" width="3.33203125" style="24" customWidth="1"/>
    <col min="10506" max="10506" width="9.08203125" style="24" bestFit="1" customWidth="1"/>
    <col min="10507" max="10507" width="6.5" style="24" customWidth="1"/>
    <col min="10508" max="10508" width="3.5" style="24" customWidth="1"/>
    <col min="10509" max="10509" width="10.5" style="24" customWidth="1"/>
    <col min="10510" max="10510" width="6.5" style="24" customWidth="1"/>
    <col min="10511" max="10511" width="3.5" style="24" customWidth="1"/>
    <col min="10512" max="10512" width="10.58203125" style="24" customWidth="1"/>
    <col min="10513" max="10513" width="7.83203125" style="24" customWidth="1"/>
    <col min="10514" max="10752" width="9" style="24"/>
    <col min="10753" max="10753" width="8.25" style="24" bestFit="1" customWidth="1"/>
    <col min="10754" max="10754" width="6.5" style="24" customWidth="1"/>
    <col min="10755" max="10755" width="3.08203125" style="24" customWidth="1"/>
    <col min="10756" max="10756" width="8.25" style="24" bestFit="1" customWidth="1"/>
    <col min="10757" max="10757" width="6.5" style="24" customWidth="1"/>
    <col min="10758" max="10758" width="3.08203125" style="24" customWidth="1"/>
    <col min="10759" max="10759" width="8.25" style="24" bestFit="1" customWidth="1"/>
    <col min="10760" max="10760" width="6.5" style="24" customWidth="1"/>
    <col min="10761" max="10761" width="3.33203125" style="24" customWidth="1"/>
    <col min="10762" max="10762" width="9.08203125" style="24" bestFit="1" customWidth="1"/>
    <col min="10763" max="10763" width="6.5" style="24" customWidth="1"/>
    <col min="10764" max="10764" width="3.5" style="24" customWidth="1"/>
    <col min="10765" max="10765" width="10.5" style="24" customWidth="1"/>
    <col min="10766" max="10766" width="6.5" style="24" customWidth="1"/>
    <col min="10767" max="10767" width="3.5" style="24" customWidth="1"/>
    <col min="10768" max="10768" width="10.58203125" style="24" customWidth="1"/>
    <col min="10769" max="10769" width="7.83203125" style="24" customWidth="1"/>
    <col min="10770" max="11008" width="9" style="24"/>
    <col min="11009" max="11009" width="8.25" style="24" bestFit="1" customWidth="1"/>
    <col min="11010" max="11010" width="6.5" style="24" customWidth="1"/>
    <col min="11011" max="11011" width="3.08203125" style="24" customWidth="1"/>
    <col min="11012" max="11012" width="8.25" style="24" bestFit="1" customWidth="1"/>
    <col min="11013" max="11013" width="6.5" style="24" customWidth="1"/>
    <col min="11014" max="11014" width="3.08203125" style="24" customWidth="1"/>
    <col min="11015" max="11015" width="8.25" style="24" bestFit="1" customWidth="1"/>
    <col min="11016" max="11016" width="6.5" style="24" customWidth="1"/>
    <col min="11017" max="11017" width="3.33203125" style="24" customWidth="1"/>
    <col min="11018" max="11018" width="9.08203125" style="24" bestFit="1" customWidth="1"/>
    <col min="11019" max="11019" width="6.5" style="24" customWidth="1"/>
    <col min="11020" max="11020" width="3.5" style="24" customWidth="1"/>
    <col min="11021" max="11021" width="10.5" style="24" customWidth="1"/>
    <col min="11022" max="11022" width="6.5" style="24" customWidth="1"/>
    <col min="11023" max="11023" width="3.5" style="24" customWidth="1"/>
    <col min="11024" max="11024" width="10.58203125" style="24" customWidth="1"/>
    <col min="11025" max="11025" width="7.83203125" style="24" customWidth="1"/>
    <col min="11026" max="11264" width="9" style="24"/>
    <col min="11265" max="11265" width="8.25" style="24" bestFit="1" customWidth="1"/>
    <col min="11266" max="11266" width="6.5" style="24" customWidth="1"/>
    <col min="11267" max="11267" width="3.08203125" style="24" customWidth="1"/>
    <col min="11268" max="11268" width="8.25" style="24" bestFit="1" customWidth="1"/>
    <col min="11269" max="11269" width="6.5" style="24" customWidth="1"/>
    <col min="11270" max="11270" width="3.08203125" style="24" customWidth="1"/>
    <col min="11271" max="11271" width="8.25" style="24" bestFit="1" customWidth="1"/>
    <col min="11272" max="11272" width="6.5" style="24" customWidth="1"/>
    <col min="11273" max="11273" width="3.33203125" style="24" customWidth="1"/>
    <col min="11274" max="11274" width="9.08203125" style="24" bestFit="1" customWidth="1"/>
    <col min="11275" max="11275" width="6.5" style="24" customWidth="1"/>
    <col min="11276" max="11276" width="3.5" style="24" customWidth="1"/>
    <col min="11277" max="11277" width="10.5" style="24" customWidth="1"/>
    <col min="11278" max="11278" width="6.5" style="24" customWidth="1"/>
    <col min="11279" max="11279" width="3.5" style="24" customWidth="1"/>
    <col min="11280" max="11280" width="10.58203125" style="24" customWidth="1"/>
    <col min="11281" max="11281" width="7.83203125" style="24" customWidth="1"/>
    <col min="11282" max="11520" width="9" style="24"/>
    <col min="11521" max="11521" width="8.25" style="24" bestFit="1" customWidth="1"/>
    <col min="11522" max="11522" width="6.5" style="24" customWidth="1"/>
    <col min="11523" max="11523" width="3.08203125" style="24" customWidth="1"/>
    <col min="11524" max="11524" width="8.25" style="24" bestFit="1" customWidth="1"/>
    <col min="11525" max="11525" width="6.5" style="24" customWidth="1"/>
    <col min="11526" max="11526" width="3.08203125" style="24" customWidth="1"/>
    <col min="11527" max="11527" width="8.25" style="24" bestFit="1" customWidth="1"/>
    <col min="11528" max="11528" width="6.5" style="24" customWidth="1"/>
    <col min="11529" max="11529" width="3.33203125" style="24" customWidth="1"/>
    <col min="11530" max="11530" width="9.08203125" style="24" bestFit="1" customWidth="1"/>
    <col min="11531" max="11531" width="6.5" style="24" customWidth="1"/>
    <col min="11532" max="11532" width="3.5" style="24" customWidth="1"/>
    <col min="11533" max="11533" width="10.5" style="24" customWidth="1"/>
    <col min="11534" max="11534" width="6.5" style="24" customWidth="1"/>
    <col min="11535" max="11535" width="3.5" style="24" customWidth="1"/>
    <col min="11536" max="11536" width="10.58203125" style="24" customWidth="1"/>
    <col min="11537" max="11537" width="7.83203125" style="24" customWidth="1"/>
    <col min="11538" max="11776" width="9" style="24"/>
    <col min="11777" max="11777" width="8.25" style="24" bestFit="1" customWidth="1"/>
    <col min="11778" max="11778" width="6.5" style="24" customWidth="1"/>
    <col min="11779" max="11779" width="3.08203125" style="24" customWidth="1"/>
    <col min="11780" max="11780" width="8.25" style="24" bestFit="1" customWidth="1"/>
    <col min="11781" max="11781" width="6.5" style="24" customWidth="1"/>
    <col min="11782" max="11782" width="3.08203125" style="24" customWidth="1"/>
    <col min="11783" max="11783" width="8.25" style="24" bestFit="1" customWidth="1"/>
    <col min="11784" max="11784" width="6.5" style="24" customWidth="1"/>
    <col min="11785" max="11785" width="3.33203125" style="24" customWidth="1"/>
    <col min="11786" max="11786" width="9.08203125" style="24" bestFit="1" customWidth="1"/>
    <col min="11787" max="11787" width="6.5" style="24" customWidth="1"/>
    <col min="11788" max="11788" width="3.5" style="24" customWidth="1"/>
    <col min="11789" max="11789" width="10.5" style="24" customWidth="1"/>
    <col min="11790" max="11790" width="6.5" style="24" customWidth="1"/>
    <col min="11791" max="11791" width="3.5" style="24" customWidth="1"/>
    <col min="11792" max="11792" width="10.58203125" style="24" customWidth="1"/>
    <col min="11793" max="11793" width="7.83203125" style="24" customWidth="1"/>
    <col min="11794" max="12032" width="9" style="24"/>
    <col min="12033" max="12033" width="8.25" style="24" bestFit="1" customWidth="1"/>
    <col min="12034" max="12034" width="6.5" style="24" customWidth="1"/>
    <col min="12035" max="12035" width="3.08203125" style="24" customWidth="1"/>
    <col min="12036" max="12036" width="8.25" style="24" bestFit="1" customWidth="1"/>
    <col min="12037" max="12037" width="6.5" style="24" customWidth="1"/>
    <col min="12038" max="12038" width="3.08203125" style="24" customWidth="1"/>
    <col min="12039" max="12039" width="8.25" style="24" bestFit="1" customWidth="1"/>
    <col min="12040" max="12040" width="6.5" style="24" customWidth="1"/>
    <col min="12041" max="12041" width="3.33203125" style="24" customWidth="1"/>
    <col min="12042" max="12042" width="9.08203125" style="24" bestFit="1" customWidth="1"/>
    <col min="12043" max="12043" width="6.5" style="24" customWidth="1"/>
    <col min="12044" max="12044" width="3.5" style="24" customWidth="1"/>
    <col min="12045" max="12045" width="10.5" style="24" customWidth="1"/>
    <col min="12046" max="12046" width="6.5" style="24" customWidth="1"/>
    <col min="12047" max="12047" width="3.5" style="24" customWidth="1"/>
    <col min="12048" max="12048" width="10.58203125" style="24" customWidth="1"/>
    <col min="12049" max="12049" width="7.83203125" style="24" customWidth="1"/>
    <col min="12050" max="12288" width="9" style="24"/>
    <col min="12289" max="12289" width="8.25" style="24" bestFit="1" customWidth="1"/>
    <col min="12290" max="12290" width="6.5" style="24" customWidth="1"/>
    <col min="12291" max="12291" width="3.08203125" style="24" customWidth="1"/>
    <col min="12292" max="12292" width="8.25" style="24" bestFit="1" customWidth="1"/>
    <col min="12293" max="12293" width="6.5" style="24" customWidth="1"/>
    <col min="12294" max="12294" width="3.08203125" style="24" customWidth="1"/>
    <col min="12295" max="12295" width="8.25" style="24" bestFit="1" customWidth="1"/>
    <col min="12296" max="12296" width="6.5" style="24" customWidth="1"/>
    <col min="12297" max="12297" width="3.33203125" style="24" customWidth="1"/>
    <col min="12298" max="12298" width="9.08203125" style="24" bestFit="1" customWidth="1"/>
    <col min="12299" max="12299" width="6.5" style="24" customWidth="1"/>
    <col min="12300" max="12300" width="3.5" style="24" customWidth="1"/>
    <col min="12301" max="12301" width="10.5" style="24" customWidth="1"/>
    <col min="12302" max="12302" width="6.5" style="24" customWidth="1"/>
    <col min="12303" max="12303" width="3.5" style="24" customWidth="1"/>
    <col min="12304" max="12304" width="10.58203125" style="24" customWidth="1"/>
    <col min="12305" max="12305" width="7.83203125" style="24" customWidth="1"/>
    <col min="12306" max="12544" width="9" style="24"/>
    <col min="12545" max="12545" width="8.25" style="24" bestFit="1" customWidth="1"/>
    <col min="12546" max="12546" width="6.5" style="24" customWidth="1"/>
    <col min="12547" max="12547" width="3.08203125" style="24" customWidth="1"/>
    <col min="12548" max="12548" width="8.25" style="24" bestFit="1" customWidth="1"/>
    <col min="12549" max="12549" width="6.5" style="24" customWidth="1"/>
    <col min="12550" max="12550" width="3.08203125" style="24" customWidth="1"/>
    <col min="12551" max="12551" width="8.25" style="24" bestFit="1" customWidth="1"/>
    <col min="12552" max="12552" width="6.5" style="24" customWidth="1"/>
    <col min="12553" max="12553" width="3.33203125" style="24" customWidth="1"/>
    <col min="12554" max="12554" width="9.08203125" style="24" bestFit="1" customWidth="1"/>
    <col min="12555" max="12555" width="6.5" style="24" customWidth="1"/>
    <col min="12556" max="12556" width="3.5" style="24" customWidth="1"/>
    <col min="12557" max="12557" width="10.5" style="24" customWidth="1"/>
    <col min="12558" max="12558" width="6.5" style="24" customWidth="1"/>
    <col min="12559" max="12559" width="3.5" style="24" customWidth="1"/>
    <col min="12560" max="12560" width="10.58203125" style="24" customWidth="1"/>
    <col min="12561" max="12561" width="7.83203125" style="24" customWidth="1"/>
    <col min="12562" max="12800" width="9" style="24"/>
    <col min="12801" max="12801" width="8.25" style="24" bestFit="1" customWidth="1"/>
    <col min="12802" max="12802" width="6.5" style="24" customWidth="1"/>
    <col min="12803" max="12803" width="3.08203125" style="24" customWidth="1"/>
    <col min="12804" max="12804" width="8.25" style="24" bestFit="1" customWidth="1"/>
    <col min="12805" max="12805" width="6.5" style="24" customWidth="1"/>
    <col min="12806" max="12806" width="3.08203125" style="24" customWidth="1"/>
    <col min="12807" max="12807" width="8.25" style="24" bestFit="1" customWidth="1"/>
    <col min="12808" max="12808" width="6.5" style="24" customWidth="1"/>
    <col min="12809" max="12809" width="3.33203125" style="24" customWidth="1"/>
    <col min="12810" max="12810" width="9.08203125" style="24" bestFit="1" customWidth="1"/>
    <col min="12811" max="12811" width="6.5" style="24" customWidth="1"/>
    <col min="12812" max="12812" width="3.5" style="24" customWidth="1"/>
    <col min="12813" max="12813" width="10.5" style="24" customWidth="1"/>
    <col min="12814" max="12814" width="6.5" style="24" customWidth="1"/>
    <col min="12815" max="12815" width="3.5" style="24" customWidth="1"/>
    <col min="12816" max="12816" width="10.58203125" style="24" customWidth="1"/>
    <col min="12817" max="12817" width="7.83203125" style="24" customWidth="1"/>
    <col min="12818" max="13056" width="9" style="24"/>
    <col min="13057" max="13057" width="8.25" style="24" bestFit="1" customWidth="1"/>
    <col min="13058" max="13058" width="6.5" style="24" customWidth="1"/>
    <col min="13059" max="13059" width="3.08203125" style="24" customWidth="1"/>
    <col min="13060" max="13060" width="8.25" style="24" bestFit="1" customWidth="1"/>
    <col min="13061" max="13061" width="6.5" style="24" customWidth="1"/>
    <col min="13062" max="13062" width="3.08203125" style="24" customWidth="1"/>
    <col min="13063" max="13063" width="8.25" style="24" bestFit="1" customWidth="1"/>
    <col min="13064" max="13064" width="6.5" style="24" customWidth="1"/>
    <col min="13065" max="13065" width="3.33203125" style="24" customWidth="1"/>
    <col min="13066" max="13066" width="9.08203125" style="24" bestFit="1" customWidth="1"/>
    <col min="13067" max="13067" width="6.5" style="24" customWidth="1"/>
    <col min="13068" max="13068" width="3.5" style="24" customWidth="1"/>
    <col min="13069" max="13069" width="10.5" style="24" customWidth="1"/>
    <col min="13070" max="13070" width="6.5" style="24" customWidth="1"/>
    <col min="13071" max="13071" width="3.5" style="24" customWidth="1"/>
    <col min="13072" max="13072" width="10.58203125" style="24" customWidth="1"/>
    <col min="13073" max="13073" width="7.83203125" style="24" customWidth="1"/>
    <col min="13074" max="13312" width="9" style="24"/>
    <col min="13313" max="13313" width="8.25" style="24" bestFit="1" customWidth="1"/>
    <col min="13314" max="13314" width="6.5" style="24" customWidth="1"/>
    <col min="13315" max="13315" width="3.08203125" style="24" customWidth="1"/>
    <col min="13316" max="13316" width="8.25" style="24" bestFit="1" customWidth="1"/>
    <col min="13317" max="13317" width="6.5" style="24" customWidth="1"/>
    <col min="13318" max="13318" width="3.08203125" style="24" customWidth="1"/>
    <col min="13319" max="13319" width="8.25" style="24" bestFit="1" customWidth="1"/>
    <col min="13320" max="13320" width="6.5" style="24" customWidth="1"/>
    <col min="13321" max="13321" width="3.33203125" style="24" customWidth="1"/>
    <col min="13322" max="13322" width="9.08203125" style="24" bestFit="1" customWidth="1"/>
    <col min="13323" max="13323" width="6.5" style="24" customWidth="1"/>
    <col min="13324" max="13324" width="3.5" style="24" customWidth="1"/>
    <col min="13325" max="13325" width="10.5" style="24" customWidth="1"/>
    <col min="13326" max="13326" width="6.5" style="24" customWidth="1"/>
    <col min="13327" max="13327" width="3.5" style="24" customWidth="1"/>
    <col min="13328" max="13328" width="10.58203125" style="24" customWidth="1"/>
    <col min="13329" max="13329" width="7.83203125" style="24" customWidth="1"/>
    <col min="13330" max="13568" width="9" style="24"/>
    <col min="13569" max="13569" width="8.25" style="24" bestFit="1" customWidth="1"/>
    <col min="13570" max="13570" width="6.5" style="24" customWidth="1"/>
    <col min="13571" max="13571" width="3.08203125" style="24" customWidth="1"/>
    <col min="13572" max="13572" width="8.25" style="24" bestFit="1" customWidth="1"/>
    <col min="13573" max="13573" width="6.5" style="24" customWidth="1"/>
    <col min="13574" max="13574" width="3.08203125" style="24" customWidth="1"/>
    <col min="13575" max="13575" width="8.25" style="24" bestFit="1" customWidth="1"/>
    <col min="13576" max="13576" width="6.5" style="24" customWidth="1"/>
    <col min="13577" max="13577" width="3.33203125" style="24" customWidth="1"/>
    <col min="13578" max="13578" width="9.08203125" style="24" bestFit="1" customWidth="1"/>
    <col min="13579" max="13579" width="6.5" style="24" customWidth="1"/>
    <col min="13580" max="13580" width="3.5" style="24" customWidth="1"/>
    <col min="13581" max="13581" width="10.5" style="24" customWidth="1"/>
    <col min="13582" max="13582" width="6.5" style="24" customWidth="1"/>
    <col min="13583" max="13583" width="3.5" style="24" customWidth="1"/>
    <col min="13584" max="13584" width="10.58203125" style="24" customWidth="1"/>
    <col min="13585" max="13585" width="7.83203125" style="24" customWidth="1"/>
    <col min="13586" max="13824" width="9" style="24"/>
    <col min="13825" max="13825" width="8.25" style="24" bestFit="1" customWidth="1"/>
    <col min="13826" max="13826" width="6.5" style="24" customWidth="1"/>
    <col min="13827" max="13827" width="3.08203125" style="24" customWidth="1"/>
    <col min="13828" max="13828" width="8.25" style="24" bestFit="1" customWidth="1"/>
    <col min="13829" max="13829" width="6.5" style="24" customWidth="1"/>
    <col min="13830" max="13830" width="3.08203125" style="24" customWidth="1"/>
    <col min="13831" max="13831" width="8.25" style="24" bestFit="1" customWidth="1"/>
    <col min="13832" max="13832" width="6.5" style="24" customWidth="1"/>
    <col min="13833" max="13833" width="3.33203125" style="24" customWidth="1"/>
    <col min="13834" max="13834" width="9.08203125" style="24" bestFit="1" customWidth="1"/>
    <col min="13835" max="13835" width="6.5" style="24" customWidth="1"/>
    <col min="13836" max="13836" width="3.5" style="24" customWidth="1"/>
    <col min="13837" max="13837" width="10.5" style="24" customWidth="1"/>
    <col min="13838" max="13838" width="6.5" style="24" customWidth="1"/>
    <col min="13839" max="13839" width="3.5" style="24" customWidth="1"/>
    <col min="13840" max="13840" width="10.58203125" style="24" customWidth="1"/>
    <col min="13841" max="13841" width="7.83203125" style="24" customWidth="1"/>
    <col min="13842" max="14080" width="9" style="24"/>
    <col min="14081" max="14081" width="8.25" style="24" bestFit="1" customWidth="1"/>
    <col min="14082" max="14082" width="6.5" style="24" customWidth="1"/>
    <col min="14083" max="14083" width="3.08203125" style="24" customWidth="1"/>
    <col min="14084" max="14084" width="8.25" style="24" bestFit="1" customWidth="1"/>
    <col min="14085" max="14085" width="6.5" style="24" customWidth="1"/>
    <col min="14086" max="14086" width="3.08203125" style="24" customWidth="1"/>
    <col min="14087" max="14087" width="8.25" style="24" bestFit="1" customWidth="1"/>
    <col min="14088" max="14088" width="6.5" style="24" customWidth="1"/>
    <col min="14089" max="14089" width="3.33203125" style="24" customWidth="1"/>
    <col min="14090" max="14090" width="9.08203125" style="24" bestFit="1" customWidth="1"/>
    <col min="14091" max="14091" width="6.5" style="24" customWidth="1"/>
    <col min="14092" max="14092" width="3.5" style="24" customWidth="1"/>
    <col min="14093" max="14093" width="10.5" style="24" customWidth="1"/>
    <col min="14094" max="14094" width="6.5" style="24" customWidth="1"/>
    <col min="14095" max="14095" width="3.5" style="24" customWidth="1"/>
    <col min="14096" max="14096" width="10.58203125" style="24" customWidth="1"/>
    <col min="14097" max="14097" width="7.83203125" style="24" customWidth="1"/>
    <col min="14098" max="14336" width="9" style="24"/>
    <col min="14337" max="14337" width="8.25" style="24" bestFit="1" customWidth="1"/>
    <col min="14338" max="14338" width="6.5" style="24" customWidth="1"/>
    <col min="14339" max="14339" width="3.08203125" style="24" customWidth="1"/>
    <col min="14340" max="14340" width="8.25" style="24" bestFit="1" customWidth="1"/>
    <col min="14341" max="14341" width="6.5" style="24" customWidth="1"/>
    <col min="14342" max="14342" width="3.08203125" style="24" customWidth="1"/>
    <col min="14343" max="14343" width="8.25" style="24" bestFit="1" customWidth="1"/>
    <col min="14344" max="14344" width="6.5" style="24" customWidth="1"/>
    <col min="14345" max="14345" width="3.33203125" style="24" customWidth="1"/>
    <col min="14346" max="14346" width="9.08203125" style="24" bestFit="1" customWidth="1"/>
    <col min="14347" max="14347" width="6.5" style="24" customWidth="1"/>
    <col min="14348" max="14348" width="3.5" style="24" customWidth="1"/>
    <col min="14349" max="14349" width="10.5" style="24" customWidth="1"/>
    <col min="14350" max="14350" width="6.5" style="24" customWidth="1"/>
    <col min="14351" max="14351" width="3.5" style="24" customWidth="1"/>
    <col min="14352" max="14352" width="10.58203125" style="24" customWidth="1"/>
    <col min="14353" max="14353" width="7.83203125" style="24" customWidth="1"/>
    <col min="14354" max="14592" width="9" style="24"/>
    <col min="14593" max="14593" width="8.25" style="24" bestFit="1" customWidth="1"/>
    <col min="14594" max="14594" width="6.5" style="24" customWidth="1"/>
    <col min="14595" max="14595" width="3.08203125" style="24" customWidth="1"/>
    <col min="14596" max="14596" width="8.25" style="24" bestFit="1" customWidth="1"/>
    <col min="14597" max="14597" width="6.5" style="24" customWidth="1"/>
    <col min="14598" max="14598" width="3.08203125" style="24" customWidth="1"/>
    <col min="14599" max="14599" width="8.25" style="24" bestFit="1" customWidth="1"/>
    <col min="14600" max="14600" width="6.5" style="24" customWidth="1"/>
    <col min="14601" max="14601" width="3.33203125" style="24" customWidth="1"/>
    <col min="14602" max="14602" width="9.08203125" style="24" bestFit="1" customWidth="1"/>
    <col min="14603" max="14603" width="6.5" style="24" customWidth="1"/>
    <col min="14604" max="14604" width="3.5" style="24" customWidth="1"/>
    <col min="14605" max="14605" width="10.5" style="24" customWidth="1"/>
    <col min="14606" max="14606" width="6.5" style="24" customWidth="1"/>
    <col min="14607" max="14607" width="3.5" style="24" customWidth="1"/>
    <col min="14608" max="14608" width="10.58203125" style="24" customWidth="1"/>
    <col min="14609" max="14609" width="7.83203125" style="24" customWidth="1"/>
    <col min="14610" max="14848" width="9" style="24"/>
    <col min="14849" max="14849" width="8.25" style="24" bestFit="1" customWidth="1"/>
    <col min="14850" max="14850" width="6.5" style="24" customWidth="1"/>
    <col min="14851" max="14851" width="3.08203125" style="24" customWidth="1"/>
    <col min="14852" max="14852" width="8.25" style="24" bestFit="1" customWidth="1"/>
    <col min="14853" max="14853" width="6.5" style="24" customWidth="1"/>
    <col min="14854" max="14854" width="3.08203125" style="24" customWidth="1"/>
    <col min="14855" max="14855" width="8.25" style="24" bestFit="1" customWidth="1"/>
    <col min="14856" max="14856" width="6.5" style="24" customWidth="1"/>
    <col min="14857" max="14857" width="3.33203125" style="24" customWidth="1"/>
    <col min="14858" max="14858" width="9.08203125" style="24" bestFit="1" customWidth="1"/>
    <col min="14859" max="14859" width="6.5" style="24" customWidth="1"/>
    <col min="14860" max="14860" width="3.5" style="24" customWidth="1"/>
    <col min="14861" max="14861" width="10.5" style="24" customWidth="1"/>
    <col min="14862" max="14862" width="6.5" style="24" customWidth="1"/>
    <col min="14863" max="14863" width="3.5" style="24" customWidth="1"/>
    <col min="14864" max="14864" width="10.58203125" style="24" customWidth="1"/>
    <col min="14865" max="14865" width="7.83203125" style="24" customWidth="1"/>
    <col min="14866" max="15104" width="9" style="24"/>
    <col min="15105" max="15105" width="8.25" style="24" bestFit="1" customWidth="1"/>
    <col min="15106" max="15106" width="6.5" style="24" customWidth="1"/>
    <col min="15107" max="15107" width="3.08203125" style="24" customWidth="1"/>
    <col min="15108" max="15108" width="8.25" style="24" bestFit="1" customWidth="1"/>
    <col min="15109" max="15109" width="6.5" style="24" customWidth="1"/>
    <col min="15110" max="15110" width="3.08203125" style="24" customWidth="1"/>
    <col min="15111" max="15111" width="8.25" style="24" bestFit="1" customWidth="1"/>
    <col min="15112" max="15112" width="6.5" style="24" customWidth="1"/>
    <col min="15113" max="15113" width="3.33203125" style="24" customWidth="1"/>
    <col min="15114" max="15114" width="9.08203125" style="24" bestFit="1" customWidth="1"/>
    <col min="15115" max="15115" width="6.5" style="24" customWidth="1"/>
    <col min="15116" max="15116" width="3.5" style="24" customWidth="1"/>
    <col min="15117" max="15117" width="10.5" style="24" customWidth="1"/>
    <col min="15118" max="15118" width="6.5" style="24" customWidth="1"/>
    <col min="15119" max="15119" width="3.5" style="24" customWidth="1"/>
    <col min="15120" max="15120" width="10.58203125" style="24" customWidth="1"/>
    <col min="15121" max="15121" width="7.83203125" style="24" customWidth="1"/>
    <col min="15122" max="15360" width="9" style="24"/>
    <col min="15361" max="15361" width="8.25" style="24" bestFit="1" customWidth="1"/>
    <col min="15362" max="15362" width="6.5" style="24" customWidth="1"/>
    <col min="15363" max="15363" width="3.08203125" style="24" customWidth="1"/>
    <col min="15364" max="15364" width="8.25" style="24" bestFit="1" customWidth="1"/>
    <col min="15365" max="15365" width="6.5" style="24" customWidth="1"/>
    <col min="15366" max="15366" width="3.08203125" style="24" customWidth="1"/>
    <col min="15367" max="15367" width="8.25" style="24" bestFit="1" customWidth="1"/>
    <col min="15368" max="15368" width="6.5" style="24" customWidth="1"/>
    <col min="15369" max="15369" width="3.33203125" style="24" customWidth="1"/>
    <col min="15370" max="15370" width="9.08203125" style="24" bestFit="1" customWidth="1"/>
    <col min="15371" max="15371" width="6.5" style="24" customWidth="1"/>
    <col min="15372" max="15372" width="3.5" style="24" customWidth="1"/>
    <col min="15373" max="15373" width="10.5" style="24" customWidth="1"/>
    <col min="15374" max="15374" width="6.5" style="24" customWidth="1"/>
    <col min="15375" max="15375" width="3.5" style="24" customWidth="1"/>
    <col min="15376" max="15376" width="10.58203125" style="24" customWidth="1"/>
    <col min="15377" max="15377" width="7.83203125" style="24" customWidth="1"/>
    <col min="15378" max="15616" width="9" style="24"/>
    <col min="15617" max="15617" width="8.25" style="24" bestFit="1" customWidth="1"/>
    <col min="15618" max="15618" width="6.5" style="24" customWidth="1"/>
    <col min="15619" max="15619" width="3.08203125" style="24" customWidth="1"/>
    <col min="15620" max="15620" width="8.25" style="24" bestFit="1" customWidth="1"/>
    <col min="15621" max="15621" width="6.5" style="24" customWidth="1"/>
    <col min="15622" max="15622" width="3.08203125" style="24" customWidth="1"/>
    <col min="15623" max="15623" width="8.25" style="24" bestFit="1" customWidth="1"/>
    <col min="15624" max="15624" width="6.5" style="24" customWidth="1"/>
    <col min="15625" max="15625" width="3.33203125" style="24" customWidth="1"/>
    <col min="15626" max="15626" width="9.08203125" style="24" bestFit="1" customWidth="1"/>
    <col min="15627" max="15627" width="6.5" style="24" customWidth="1"/>
    <col min="15628" max="15628" width="3.5" style="24" customWidth="1"/>
    <col min="15629" max="15629" width="10.5" style="24" customWidth="1"/>
    <col min="15630" max="15630" width="6.5" style="24" customWidth="1"/>
    <col min="15631" max="15631" width="3.5" style="24" customWidth="1"/>
    <col min="15632" max="15632" width="10.58203125" style="24" customWidth="1"/>
    <col min="15633" max="15633" width="7.83203125" style="24" customWidth="1"/>
    <col min="15634" max="15872" width="9" style="24"/>
    <col min="15873" max="15873" width="8.25" style="24" bestFit="1" customWidth="1"/>
    <col min="15874" max="15874" width="6.5" style="24" customWidth="1"/>
    <col min="15875" max="15875" width="3.08203125" style="24" customWidth="1"/>
    <col min="15876" max="15876" width="8.25" style="24" bestFit="1" customWidth="1"/>
    <col min="15877" max="15877" width="6.5" style="24" customWidth="1"/>
    <col min="15878" max="15878" width="3.08203125" style="24" customWidth="1"/>
    <col min="15879" max="15879" width="8.25" style="24" bestFit="1" customWidth="1"/>
    <col min="15880" max="15880" width="6.5" style="24" customWidth="1"/>
    <col min="15881" max="15881" width="3.33203125" style="24" customWidth="1"/>
    <col min="15882" max="15882" width="9.08203125" style="24" bestFit="1" customWidth="1"/>
    <col min="15883" max="15883" width="6.5" style="24" customWidth="1"/>
    <col min="15884" max="15884" width="3.5" style="24" customWidth="1"/>
    <col min="15885" max="15885" width="10.5" style="24" customWidth="1"/>
    <col min="15886" max="15886" width="6.5" style="24" customWidth="1"/>
    <col min="15887" max="15887" width="3.5" style="24" customWidth="1"/>
    <col min="15888" max="15888" width="10.58203125" style="24" customWidth="1"/>
    <col min="15889" max="15889" width="7.83203125" style="24" customWidth="1"/>
    <col min="15890" max="16128" width="9" style="24"/>
    <col min="16129" max="16129" width="8.25" style="24" bestFit="1" customWidth="1"/>
    <col min="16130" max="16130" width="6.5" style="24" customWidth="1"/>
    <col min="16131" max="16131" width="3.08203125" style="24" customWidth="1"/>
    <col min="16132" max="16132" width="8.25" style="24" bestFit="1" customWidth="1"/>
    <col min="16133" max="16133" width="6.5" style="24" customWidth="1"/>
    <col min="16134" max="16134" width="3.08203125" style="24" customWidth="1"/>
    <col min="16135" max="16135" width="8.25" style="24" bestFit="1" customWidth="1"/>
    <col min="16136" max="16136" width="6.5" style="24" customWidth="1"/>
    <col min="16137" max="16137" width="3.33203125" style="24" customWidth="1"/>
    <col min="16138" max="16138" width="9.08203125" style="24" bestFit="1" customWidth="1"/>
    <col min="16139" max="16139" width="6.5" style="24" customWidth="1"/>
    <col min="16140" max="16140" width="3.5" style="24" customWidth="1"/>
    <col min="16141" max="16141" width="10.5" style="24" customWidth="1"/>
    <col min="16142" max="16142" width="6.5" style="24" customWidth="1"/>
    <col min="16143" max="16143" width="3.5" style="24" customWidth="1"/>
    <col min="16144" max="16144" width="10.58203125" style="24" customWidth="1"/>
    <col min="16145" max="16145" width="7.83203125" style="24" customWidth="1"/>
    <col min="16146" max="16384" width="9" style="24"/>
  </cols>
  <sheetData>
    <row r="1" spans="1:17" x14ac:dyDescent="0.45">
      <c r="A1" s="21"/>
      <c r="B1" s="21"/>
      <c r="C1" s="21"/>
      <c r="D1" s="22" t="s">
        <v>2326</v>
      </c>
      <c r="E1" s="23" t="s">
        <v>2327</v>
      </c>
      <c r="F1" s="21"/>
      <c r="G1" s="22" t="s">
        <v>2328</v>
      </c>
      <c r="H1" s="23" t="s">
        <v>2327</v>
      </c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45">
      <c r="A2" s="21"/>
      <c r="B2" s="21"/>
      <c r="C2" s="21"/>
      <c r="D2" s="21" t="s">
        <v>2329</v>
      </c>
      <c r="E2" s="21"/>
      <c r="F2" s="21"/>
      <c r="G2" s="21" t="s">
        <v>2329</v>
      </c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45">
      <c r="A3" s="21"/>
      <c r="B3" s="21"/>
      <c r="C3" s="21"/>
      <c r="D3" s="21" t="s">
        <v>2330</v>
      </c>
      <c r="E3" s="21"/>
      <c r="F3" s="21"/>
      <c r="G3" s="21" t="s">
        <v>2330</v>
      </c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45">
      <c r="A4" s="21"/>
      <c r="B4" s="21"/>
      <c r="C4" s="21"/>
      <c r="D4" s="21" t="s">
        <v>2331</v>
      </c>
      <c r="E4" s="21"/>
      <c r="F4" s="21"/>
      <c r="G4" s="21" t="s">
        <v>2331</v>
      </c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x14ac:dyDescent="0.45">
      <c r="A5" s="21"/>
      <c r="B5" s="21"/>
      <c r="C5" s="21"/>
      <c r="D5" s="21" t="s">
        <v>2332</v>
      </c>
      <c r="E5" s="21"/>
      <c r="F5" s="21"/>
      <c r="G5" s="21" t="s">
        <v>2332</v>
      </c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45">
      <c r="A6" s="21"/>
      <c r="B6" s="21"/>
      <c r="C6" s="21"/>
      <c r="D6" s="21" t="s">
        <v>2333</v>
      </c>
      <c r="E6" s="21"/>
      <c r="F6" s="21"/>
      <c r="G6" s="21" t="s">
        <v>2333</v>
      </c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x14ac:dyDescent="0.45">
      <c r="A7" s="21"/>
      <c r="B7" s="21"/>
      <c r="C7" s="21"/>
      <c r="D7" s="21" t="s">
        <v>2334</v>
      </c>
      <c r="E7" s="21"/>
      <c r="F7" s="21"/>
      <c r="G7" s="21" t="s">
        <v>2334</v>
      </c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x14ac:dyDescent="0.45">
      <c r="A8" s="21"/>
      <c r="B8" s="21"/>
      <c r="C8" s="21"/>
      <c r="D8" s="21" t="s">
        <v>2335</v>
      </c>
      <c r="E8" s="21"/>
      <c r="F8" s="25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x14ac:dyDescent="0.45">
      <c r="A9" s="22" t="s">
        <v>2336</v>
      </c>
      <c r="B9" s="23" t="s">
        <v>2327</v>
      </c>
      <c r="C9" s="21"/>
      <c r="D9" s="22" t="s">
        <v>2337</v>
      </c>
      <c r="E9" s="23" t="s">
        <v>2327</v>
      </c>
      <c r="F9" s="21"/>
      <c r="G9" s="22" t="s">
        <v>2338</v>
      </c>
      <c r="H9" s="23" t="s">
        <v>2327</v>
      </c>
      <c r="I9" s="21"/>
      <c r="J9" s="22" t="s">
        <v>2339</v>
      </c>
      <c r="K9" s="23" t="s">
        <v>2327</v>
      </c>
      <c r="L9" s="21"/>
      <c r="M9" s="22" t="s">
        <v>2340</v>
      </c>
      <c r="N9" s="23" t="s">
        <v>2327</v>
      </c>
      <c r="O9" s="21"/>
      <c r="P9" s="22" t="s">
        <v>2341</v>
      </c>
      <c r="Q9" s="23" t="s">
        <v>2327</v>
      </c>
    </row>
    <row r="10" spans="1:17" x14ac:dyDescent="0.45">
      <c r="A10" s="21" t="s">
        <v>2329</v>
      </c>
      <c r="B10" s="21"/>
      <c r="C10" s="21"/>
      <c r="D10" s="21" t="s">
        <v>2329</v>
      </c>
      <c r="E10" s="21"/>
      <c r="F10" s="21"/>
      <c r="G10" s="21" t="s">
        <v>2329</v>
      </c>
      <c r="H10" s="21"/>
      <c r="I10" s="21"/>
      <c r="J10" s="21" t="s">
        <v>2329</v>
      </c>
      <c r="K10" s="21"/>
      <c r="L10" s="21"/>
      <c r="M10" s="21" t="s">
        <v>2329</v>
      </c>
      <c r="N10" s="21">
        <v>200</v>
      </c>
      <c r="O10" s="21"/>
      <c r="P10" s="21" t="s">
        <v>2329</v>
      </c>
      <c r="Q10" s="21">
        <f t="shared" ref="Q10:Q15" si="0">IF(E2+H2+B10+E10+H10+K10+N10+B18+E18+H18+K18+E26&lt;0, 0, E2+H2+B10+E10+H10+K10+N10+B18+E18+H18+K18+E26)</f>
        <v>210</v>
      </c>
    </row>
    <row r="11" spans="1:17" x14ac:dyDescent="0.45">
      <c r="A11" s="21" t="s">
        <v>2330</v>
      </c>
      <c r="B11" s="21"/>
      <c r="C11" s="21"/>
      <c r="D11" s="21" t="s">
        <v>2330</v>
      </c>
      <c r="E11" s="21"/>
      <c r="F11" s="21"/>
      <c r="G11" s="21" t="s">
        <v>2330</v>
      </c>
      <c r="H11" s="21"/>
      <c r="I11" s="21"/>
      <c r="J11" s="21" t="s">
        <v>2330</v>
      </c>
      <c r="K11" s="21"/>
      <c r="L11" s="21"/>
      <c r="M11" s="21" t="s">
        <v>2330</v>
      </c>
      <c r="N11" s="21">
        <v>262</v>
      </c>
      <c r="O11" s="21"/>
      <c r="P11" s="21" t="s">
        <v>2330</v>
      </c>
      <c r="Q11" s="21">
        <f t="shared" si="0"/>
        <v>262</v>
      </c>
    </row>
    <row r="12" spans="1:17" x14ac:dyDescent="0.45">
      <c r="A12" s="21" t="s">
        <v>2331</v>
      </c>
      <c r="B12" s="21"/>
      <c r="C12" s="21"/>
      <c r="D12" s="21" t="s">
        <v>2331</v>
      </c>
      <c r="E12" s="21"/>
      <c r="F12" s="21"/>
      <c r="G12" s="21" t="s">
        <v>2331</v>
      </c>
      <c r="H12" s="21"/>
      <c r="I12" s="21"/>
      <c r="J12" s="21" t="s">
        <v>2331</v>
      </c>
      <c r="K12" s="21"/>
      <c r="L12" s="21"/>
      <c r="M12" s="21" t="s">
        <v>2331</v>
      </c>
      <c r="N12" s="21">
        <v>5</v>
      </c>
      <c r="O12" s="21"/>
      <c r="P12" s="21" t="s">
        <v>2331</v>
      </c>
      <c r="Q12" s="21">
        <f t="shared" si="0"/>
        <v>5</v>
      </c>
    </row>
    <row r="13" spans="1:17" x14ac:dyDescent="0.45">
      <c r="A13" s="21" t="s">
        <v>2332</v>
      </c>
      <c r="B13" s="21"/>
      <c r="C13" s="21"/>
      <c r="D13" s="21" t="s">
        <v>2332</v>
      </c>
      <c r="E13" s="21"/>
      <c r="F13" s="21"/>
      <c r="G13" s="21" t="s">
        <v>2332</v>
      </c>
      <c r="H13" s="21"/>
      <c r="I13" s="21"/>
      <c r="J13" s="21" t="s">
        <v>2332</v>
      </c>
      <c r="K13" s="21"/>
      <c r="L13" s="21"/>
      <c r="M13" s="21" t="s">
        <v>2332</v>
      </c>
      <c r="N13" s="21">
        <v>5</v>
      </c>
      <c r="O13" s="21"/>
      <c r="P13" s="21" t="s">
        <v>2332</v>
      </c>
      <c r="Q13" s="21">
        <f t="shared" si="0"/>
        <v>5</v>
      </c>
    </row>
    <row r="14" spans="1:17" x14ac:dyDescent="0.45">
      <c r="A14" s="21" t="s">
        <v>2333</v>
      </c>
      <c r="B14" s="21"/>
      <c r="C14" s="21"/>
      <c r="D14" s="21" t="s">
        <v>2333</v>
      </c>
      <c r="E14" s="21"/>
      <c r="F14" s="21"/>
      <c r="G14" s="21" t="s">
        <v>2333</v>
      </c>
      <c r="H14" s="21"/>
      <c r="I14" s="21"/>
      <c r="J14" s="21" t="s">
        <v>2333</v>
      </c>
      <c r="K14" s="21"/>
      <c r="L14" s="21"/>
      <c r="M14" s="21" t="s">
        <v>2333</v>
      </c>
      <c r="N14" s="21">
        <v>15</v>
      </c>
      <c r="O14" s="21"/>
      <c r="P14" s="21" t="s">
        <v>2333</v>
      </c>
      <c r="Q14" s="21">
        <f t="shared" si="0"/>
        <v>15</v>
      </c>
    </row>
    <row r="15" spans="1:17" x14ac:dyDescent="0.45">
      <c r="A15" s="21" t="s">
        <v>2334</v>
      </c>
      <c r="B15" s="21"/>
      <c r="C15" s="21"/>
      <c r="D15" s="21" t="s">
        <v>2334</v>
      </c>
      <c r="E15" s="21"/>
      <c r="F15" s="21"/>
      <c r="G15" s="21" t="s">
        <v>2334</v>
      </c>
      <c r="H15" s="21"/>
      <c r="I15" s="21"/>
      <c r="J15" s="21" t="s">
        <v>2334</v>
      </c>
      <c r="K15" s="21"/>
      <c r="L15" s="21"/>
      <c r="M15" s="21" t="s">
        <v>2334</v>
      </c>
      <c r="N15" s="21">
        <v>18</v>
      </c>
      <c r="O15" s="21"/>
      <c r="P15" s="21" t="s">
        <v>2334</v>
      </c>
      <c r="Q15" s="21">
        <f t="shared" si="0"/>
        <v>18</v>
      </c>
    </row>
    <row r="16" spans="1:17" x14ac:dyDescent="0.45">
      <c r="A16" s="21" t="s">
        <v>2335</v>
      </c>
      <c r="B16" s="21"/>
      <c r="C16" s="25"/>
      <c r="D16" s="21" t="s">
        <v>2335</v>
      </c>
      <c r="E16" s="21">
        <v>510</v>
      </c>
      <c r="F16" s="25"/>
      <c r="G16" s="21" t="s">
        <v>2335</v>
      </c>
      <c r="H16" s="21"/>
      <c r="I16" s="25"/>
      <c r="J16" s="21" t="s">
        <v>2335</v>
      </c>
      <c r="K16" s="21"/>
      <c r="L16" s="21"/>
      <c r="M16" s="21" t="s">
        <v>2342</v>
      </c>
      <c r="N16" s="21">
        <f>(N18-1)*5+60-N10-N11-N12-N13-N14-N15</f>
        <v>0</v>
      </c>
      <c r="O16" s="21"/>
      <c r="P16" s="21"/>
      <c r="Q16" s="21"/>
    </row>
    <row r="17" spans="1:17" x14ac:dyDescent="0.45">
      <c r="A17" s="22" t="s">
        <v>2343</v>
      </c>
      <c r="B17" s="23" t="s">
        <v>2327</v>
      </c>
      <c r="C17" s="21"/>
      <c r="D17" s="22" t="s">
        <v>2344</v>
      </c>
      <c r="E17" s="23" t="s">
        <v>2327</v>
      </c>
      <c r="F17" s="21"/>
      <c r="G17" s="22" t="s">
        <v>2343</v>
      </c>
      <c r="H17" s="23" t="s">
        <v>2327</v>
      </c>
      <c r="I17" s="21"/>
      <c r="J17" s="22" t="s">
        <v>2345</v>
      </c>
      <c r="K17" s="23" t="s">
        <v>2327</v>
      </c>
      <c r="L17" s="21"/>
      <c r="M17" s="21"/>
      <c r="N17" s="21"/>
      <c r="O17" s="21"/>
      <c r="P17" s="21" t="s">
        <v>2335</v>
      </c>
      <c r="Q17" s="21">
        <f>SUM(E8+E8*F8*0.1,E16+E16*F16*0.1,H16+H16*I16*0.1,B24+B24*C24*0.1,E24+E24*F24*0.1,H24+H24*I24*0.1,K24+K24*L24*0.1,E32+E32*F32*0.1,K16,B16+B16*C16*0.1,1)</f>
        <v>721</v>
      </c>
    </row>
    <row r="18" spans="1:17" x14ac:dyDescent="0.45">
      <c r="A18" s="21" t="s">
        <v>2329</v>
      </c>
      <c r="B18" s="21"/>
      <c r="C18" s="21"/>
      <c r="D18" s="21" t="s">
        <v>2329</v>
      </c>
      <c r="E18" s="21"/>
      <c r="F18" s="21"/>
      <c r="G18" s="21" t="s">
        <v>2329</v>
      </c>
      <c r="H18" s="21"/>
      <c r="I18" s="21"/>
      <c r="J18" s="21" t="s">
        <v>2329</v>
      </c>
      <c r="K18" s="21"/>
      <c r="L18" s="21"/>
      <c r="M18" s="21" t="s">
        <v>2346</v>
      </c>
      <c r="N18" s="21">
        <v>90</v>
      </c>
      <c r="O18" s="21"/>
      <c r="P18" s="21" t="s">
        <v>2347</v>
      </c>
      <c r="Q18" s="21">
        <f>TRUNC(Q17*1.5, 0)</f>
        <v>1081</v>
      </c>
    </row>
    <row r="19" spans="1:17" x14ac:dyDescent="0.45">
      <c r="A19" s="21" t="s">
        <v>2330</v>
      </c>
      <c r="B19" s="21"/>
      <c r="C19" s="21"/>
      <c r="D19" s="21" t="s">
        <v>2330</v>
      </c>
      <c r="E19" s="21"/>
      <c r="F19" s="21"/>
      <c r="G19" s="21" t="s">
        <v>2330</v>
      </c>
      <c r="H19" s="21"/>
      <c r="I19" s="21"/>
      <c r="J19" s="21" t="s">
        <v>2330</v>
      </c>
      <c r="K19" s="21"/>
      <c r="L19" s="21"/>
      <c r="M19" s="21"/>
      <c r="N19" s="21"/>
      <c r="O19" s="21"/>
      <c r="P19" s="26" t="s">
        <v>2348</v>
      </c>
      <c r="Q19" s="21"/>
    </row>
    <row r="20" spans="1:17" x14ac:dyDescent="0.45">
      <c r="A20" s="21" t="s">
        <v>2331</v>
      </c>
      <c r="B20" s="21"/>
      <c r="C20" s="21"/>
      <c r="D20" s="21" t="s">
        <v>2331</v>
      </c>
      <c r="E20" s="21"/>
      <c r="F20" s="21"/>
      <c r="G20" s="21" t="s">
        <v>2331</v>
      </c>
      <c r="H20" s="21"/>
      <c r="I20" s="21"/>
      <c r="J20" s="21" t="s">
        <v>2331</v>
      </c>
      <c r="K20" s="21"/>
      <c r="L20" s="21"/>
      <c r="M20" s="27"/>
      <c r="N20" s="21"/>
      <c r="O20" s="21"/>
      <c r="P20" s="26" t="s">
        <v>2349</v>
      </c>
      <c r="Q20" s="21"/>
    </row>
    <row r="21" spans="1:17" x14ac:dyDescent="0.45">
      <c r="A21" s="21" t="s">
        <v>2332</v>
      </c>
      <c r="B21" s="21"/>
      <c r="C21" s="21"/>
      <c r="D21" s="21" t="s">
        <v>2332</v>
      </c>
      <c r="E21" s="21"/>
      <c r="F21" s="21"/>
      <c r="G21" s="21" t="s">
        <v>2332</v>
      </c>
      <c r="H21" s="21"/>
      <c r="I21" s="21"/>
      <c r="J21" s="21" t="s">
        <v>2332</v>
      </c>
      <c r="K21" s="21"/>
      <c r="L21" s="21"/>
      <c r="M21" s="21"/>
      <c r="N21" s="21"/>
      <c r="O21" s="21"/>
      <c r="P21" s="26" t="s">
        <v>2350</v>
      </c>
      <c r="Q21" s="21"/>
    </row>
    <row r="22" spans="1:17" x14ac:dyDescent="0.45">
      <c r="A22" s="21" t="s">
        <v>2333</v>
      </c>
      <c r="B22" s="21"/>
      <c r="C22" s="21"/>
      <c r="D22" s="21" t="s">
        <v>2333</v>
      </c>
      <c r="E22" s="21"/>
      <c r="F22" s="21"/>
      <c r="G22" s="21" t="s">
        <v>2333</v>
      </c>
      <c r="H22" s="21"/>
      <c r="I22" s="21"/>
      <c r="J22" s="21" t="s">
        <v>2333</v>
      </c>
      <c r="K22" s="21"/>
      <c r="L22" s="21"/>
      <c r="M22" s="21"/>
      <c r="N22" s="21"/>
      <c r="O22" s="21"/>
      <c r="P22" s="21"/>
      <c r="Q22" s="21"/>
    </row>
    <row r="23" spans="1:17" x14ac:dyDescent="0.45">
      <c r="A23" s="21" t="s">
        <v>2334</v>
      </c>
      <c r="B23" s="21"/>
      <c r="C23" s="21"/>
      <c r="D23" s="21" t="s">
        <v>2334</v>
      </c>
      <c r="E23" s="21"/>
      <c r="F23" s="21"/>
      <c r="G23" s="21" t="s">
        <v>2334</v>
      </c>
      <c r="H23" s="21"/>
      <c r="I23" s="21"/>
      <c r="J23" s="21" t="s">
        <v>2334</v>
      </c>
      <c r="K23" s="21"/>
      <c r="L23" s="21"/>
      <c r="M23" s="21"/>
      <c r="N23" s="21"/>
      <c r="O23" s="21"/>
      <c r="P23" s="21"/>
      <c r="Q23" s="21"/>
    </row>
    <row r="24" spans="1:17" x14ac:dyDescent="0.45">
      <c r="A24" s="21" t="s">
        <v>2335</v>
      </c>
      <c r="B24" s="21"/>
      <c r="C24" s="25"/>
      <c r="D24" s="21" t="s">
        <v>2335</v>
      </c>
      <c r="E24" s="21">
        <v>210</v>
      </c>
      <c r="F24" s="25"/>
      <c r="G24" s="21" t="s">
        <v>2335</v>
      </c>
      <c r="H24" s="21"/>
      <c r="I24" s="25"/>
      <c r="J24" s="21" t="s">
        <v>2335</v>
      </c>
      <c r="K24" s="21"/>
      <c r="L24" s="25"/>
      <c r="M24" s="21"/>
      <c r="N24" s="21"/>
      <c r="O24" s="21"/>
      <c r="P24" s="21"/>
      <c r="Q24" s="21"/>
    </row>
    <row r="25" spans="1:17" ht="13.5" thickBot="1" x14ac:dyDescent="0.5">
      <c r="A25" s="21"/>
      <c r="B25" s="21"/>
      <c r="C25" s="21"/>
      <c r="D25" s="22" t="s">
        <v>2351</v>
      </c>
      <c r="E25" s="23" t="s">
        <v>2327</v>
      </c>
      <c r="F25" s="21"/>
      <c r="G25" s="21"/>
      <c r="H25" s="21"/>
      <c r="I25" s="21"/>
      <c r="J25" s="21"/>
      <c r="K25" s="21"/>
      <c r="L25" s="21"/>
      <c r="M25" s="27"/>
      <c r="N25" s="21"/>
      <c r="O25" s="21"/>
      <c r="P25" s="21"/>
      <c r="Q25" s="21"/>
    </row>
    <row r="26" spans="1:17" ht="13.5" thickTop="1" x14ac:dyDescent="0.45">
      <c r="A26" s="21"/>
      <c r="B26" s="21"/>
      <c r="C26" s="21"/>
      <c r="D26" s="21" t="s">
        <v>2329</v>
      </c>
      <c r="E26" s="28">
        <v>10</v>
      </c>
      <c r="F26" s="21"/>
      <c r="G26" s="21"/>
      <c r="H26" s="21"/>
      <c r="I26" s="21"/>
      <c r="J26" s="29" t="s">
        <v>2352</v>
      </c>
      <c r="K26" s="30"/>
      <c r="L26" s="31"/>
      <c r="M26" s="32" t="s">
        <v>2353</v>
      </c>
      <c r="N26" s="33"/>
      <c r="O26" s="31"/>
      <c r="P26" s="29" t="s">
        <v>2354</v>
      </c>
      <c r="Q26" s="30"/>
    </row>
    <row r="27" spans="1:17" x14ac:dyDescent="0.45">
      <c r="A27" s="21"/>
      <c r="B27" s="21"/>
      <c r="C27" s="21"/>
      <c r="D27" s="21" t="s">
        <v>2330</v>
      </c>
      <c r="E27" s="28"/>
      <c r="F27" s="21"/>
      <c r="G27" s="21"/>
      <c r="H27" s="21"/>
      <c r="I27" s="21"/>
      <c r="J27" s="34" t="s">
        <v>2355</v>
      </c>
      <c r="K27" s="35">
        <f>SUM($Q$10*40,$Q$12*12,$Q$13*7,$Q$14*51,$Q$19)</f>
        <v>9260</v>
      </c>
      <c r="L27" s="36"/>
      <c r="M27" s="37" t="s">
        <v>2355</v>
      </c>
      <c r="N27" s="38">
        <f>SUM($Q$10*41,$Q$12*11,$Q$13*5,$Q$14*52,$Q$19)</f>
        <v>9470</v>
      </c>
      <c r="O27" s="36"/>
      <c r="P27" s="34" t="s">
        <v>2355</v>
      </c>
      <c r="Q27" s="35">
        <f>SUM($Q$10*40,$Q$12*12,$Q$13*7,$Q$14*51,$Q$19)</f>
        <v>9260</v>
      </c>
    </row>
    <row r="28" spans="1:17" x14ac:dyDescent="0.45">
      <c r="A28" s="21"/>
      <c r="B28" s="21"/>
      <c r="C28" s="21"/>
      <c r="D28" s="21" t="s">
        <v>2331</v>
      </c>
      <c r="E28" s="28"/>
      <c r="F28" s="21"/>
      <c r="G28" s="21"/>
      <c r="H28" s="21"/>
      <c r="I28" s="21"/>
      <c r="J28" s="34" t="s">
        <v>2356</v>
      </c>
      <c r="K28" s="35">
        <f>SUM($Q$11*30,$Q$12*9,$Q$13*4,$Q$20)</f>
        <v>7925</v>
      </c>
      <c r="L28" s="36"/>
      <c r="M28" s="37" t="s">
        <v>2356</v>
      </c>
      <c r="N28" s="38">
        <f>SUM($Q$11*29,$Q$12*12,$Q$13*5,$Q$20)</f>
        <v>7683</v>
      </c>
      <c r="O28" s="36"/>
      <c r="P28" s="34" t="s">
        <v>2356</v>
      </c>
      <c r="Q28" s="35">
        <f>SUM($Q$11*30,$Q$12*9,$Q$13*4,$Q$20)</f>
        <v>7925</v>
      </c>
    </row>
    <row r="29" spans="1:17" ht="13.5" thickBot="1" x14ac:dyDescent="0.5">
      <c r="A29" s="21"/>
      <c r="B29" s="21"/>
      <c r="C29" s="21"/>
      <c r="D29" s="21" t="s">
        <v>2332</v>
      </c>
      <c r="E29" s="28"/>
      <c r="F29" s="21"/>
      <c r="G29" s="21"/>
      <c r="H29" s="21"/>
      <c r="I29" s="21"/>
      <c r="J29" s="39" t="s">
        <v>2357</v>
      </c>
      <c r="K29" s="40">
        <f>SUM($Q$10*20,$Q$11*25,$Q$13*40,$Q$14*35,$Q$15*30,$Q$21)</f>
        <v>12015</v>
      </c>
      <c r="L29" s="36"/>
      <c r="M29" s="41" t="s">
        <v>2357</v>
      </c>
      <c r="N29" s="42">
        <f>SUM($Q$10*20,$Q$11*25,$Q$13*40,$Q$14*35,$Q$15*30,$Q$21)</f>
        <v>12015</v>
      </c>
      <c r="O29" s="36"/>
      <c r="P29" s="39" t="s">
        <v>2357</v>
      </c>
      <c r="Q29" s="40">
        <f>SUM($Q$10*20,$Q$11*25,$Q$13*40,$Q$14*35,$Q$15*30,$Q$21)</f>
        <v>12015</v>
      </c>
    </row>
    <row r="30" spans="1:17" ht="13.5" thickTop="1" x14ac:dyDescent="0.45">
      <c r="A30" s="21"/>
      <c r="B30" s="21"/>
      <c r="C30" s="21"/>
      <c r="D30" s="21" t="s">
        <v>2333</v>
      </c>
      <c r="E30" s="28"/>
      <c r="F30" s="21"/>
      <c r="G30" s="21"/>
      <c r="H30" s="21"/>
      <c r="I30" s="21"/>
      <c r="J30" s="29" t="s">
        <v>2358</v>
      </c>
      <c r="K30" s="30"/>
      <c r="L30" s="36"/>
      <c r="M30" s="29" t="s">
        <v>2359</v>
      </c>
      <c r="N30" s="30"/>
      <c r="O30" s="36"/>
      <c r="P30" s="29" t="s">
        <v>2360</v>
      </c>
      <c r="Q30" s="30"/>
    </row>
    <row r="31" spans="1:17" x14ac:dyDescent="0.45">
      <c r="A31" s="21"/>
      <c r="B31" s="21"/>
      <c r="C31" s="21"/>
      <c r="D31" s="21" t="s">
        <v>2334</v>
      </c>
      <c r="E31" s="28"/>
      <c r="F31" s="21"/>
      <c r="G31" s="21"/>
      <c r="H31" s="21"/>
      <c r="I31" s="21"/>
      <c r="J31" s="34" t="s">
        <v>2355</v>
      </c>
      <c r="K31" s="35">
        <f>SUM($Q$10*39,$Q$12*9,$Q$13*4,$Q$14*53,$Q$19)</f>
        <v>9050</v>
      </c>
      <c r="L31" s="36"/>
      <c r="M31" s="34" t="s">
        <v>2355</v>
      </c>
      <c r="N31" s="35">
        <f>SUM($Q$10*41,$Q$12*11,$Q$13*5,$Q$14*52,$Q$19)</f>
        <v>9470</v>
      </c>
      <c r="O31" s="36"/>
      <c r="P31" s="34" t="s">
        <v>2355</v>
      </c>
      <c r="Q31" s="35">
        <f>SUM($Q$10*39,$Q$12*9,$Q$13*4,$Q$14*53,$Q$19)</f>
        <v>9050</v>
      </c>
    </row>
    <row r="32" spans="1:17" x14ac:dyDescent="0.45">
      <c r="A32" s="21"/>
      <c r="B32" s="21"/>
      <c r="C32" s="21"/>
      <c r="D32" s="21" t="s">
        <v>2335</v>
      </c>
      <c r="E32" s="28"/>
      <c r="F32" s="25"/>
      <c r="G32" s="21"/>
      <c r="H32" s="21"/>
      <c r="I32" s="21"/>
      <c r="J32" s="34" t="s">
        <v>2356</v>
      </c>
      <c r="K32" s="35">
        <f>SUM($Q$11*31,$Q$12*12,$Q$13*7,$Q$20)</f>
        <v>8217</v>
      </c>
      <c r="L32" s="36"/>
      <c r="M32" s="34" t="s">
        <v>2356</v>
      </c>
      <c r="N32" s="35">
        <f>SUM($Q$11*29,$Q$12*12,$Q$13*5,$Q$20)</f>
        <v>7683</v>
      </c>
      <c r="O32" s="36"/>
      <c r="P32" s="34" t="s">
        <v>2356</v>
      </c>
      <c r="Q32" s="35">
        <f>SUM($Q$11*31,$Q$12*12,$Q$13*7,$Q$20)</f>
        <v>8217</v>
      </c>
    </row>
    <row r="33" spans="1:17" ht="13.5" thickBot="1" x14ac:dyDescent="0.5">
      <c r="A33" s="21"/>
      <c r="B33" s="21"/>
      <c r="C33" s="21"/>
      <c r="D33" s="21"/>
      <c r="E33" s="21"/>
      <c r="F33" s="21"/>
      <c r="G33" s="21"/>
      <c r="H33" s="21"/>
      <c r="I33" s="21"/>
      <c r="J33" s="39" t="s">
        <v>2357</v>
      </c>
      <c r="K33" s="40">
        <f>SUM($Q$10*20,$Q$11*25,$Q$13*40,$Q$14*35,$Q$15*30,$Q$21)</f>
        <v>12015</v>
      </c>
      <c r="L33" s="43"/>
      <c r="M33" s="39" t="s">
        <v>2357</v>
      </c>
      <c r="N33" s="40">
        <f>SUM($Q$10*20,$Q$11*25,$Q$13*40,$Q$14*35,$Q$15*30,$Q$21)</f>
        <v>12015</v>
      </c>
      <c r="O33" s="43"/>
      <c r="P33" s="39" t="s">
        <v>2357</v>
      </c>
      <c r="Q33" s="40">
        <f>SUM($Q$10*20,$Q$11*25,$Q$13*40,$Q$14*35,$Q$15*30,$Q$21)</f>
        <v>12015</v>
      </c>
    </row>
    <row r="34" spans="1:17" ht="13.5" thickTop="1" x14ac:dyDescent="0.45">
      <c r="M34" s="44"/>
    </row>
    <row r="35" spans="1:17" x14ac:dyDescent="0.45">
      <c r="M35" s="44"/>
    </row>
    <row r="36" spans="1:17" x14ac:dyDescent="0.45">
      <c r="M36" s="44"/>
    </row>
    <row r="37" spans="1:17" x14ac:dyDescent="0.45">
      <c r="M37" s="44"/>
    </row>
    <row r="38" spans="1:17" x14ac:dyDescent="0.45">
      <c r="M38" s="44"/>
    </row>
    <row r="39" spans="1:17" x14ac:dyDescent="0.45">
      <c r="M39" s="44"/>
    </row>
    <row r="40" spans="1:17" x14ac:dyDescent="0.45">
      <c r="M40" s="44"/>
    </row>
    <row r="41" spans="1:17" x14ac:dyDescent="0.45">
      <c r="M41" s="44"/>
    </row>
    <row r="42" spans="1:17" x14ac:dyDescent="0.45">
      <c r="M42" s="44"/>
    </row>
    <row r="43" spans="1:17" x14ac:dyDescent="0.45">
      <c r="M43" s="44"/>
    </row>
    <row r="44" spans="1:17" x14ac:dyDescent="0.45">
      <c r="M44" s="44"/>
    </row>
    <row r="45" spans="1:17" x14ac:dyDescent="0.45">
      <c r="M45" s="44"/>
    </row>
    <row r="46" spans="1:17" x14ac:dyDescent="0.45">
      <c r="M46" s="44"/>
    </row>
    <row r="47" spans="1:17" x14ac:dyDescent="0.45">
      <c r="M47" s="44"/>
    </row>
    <row r="48" spans="1:17" x14ac:dyDescent="0.45">
      <c r="M48" s="44"/>
    </row>
    <row r="49" spans="13:13" x14ac:dyDescent="0.45">
      <c r="M49" s="44"/>
    </row>
    <row r="50" spans="13:13" x14ac:dyDescent="0.45">
      <c r="M50" s="44"/>
    </row>
    <row r="51" spans="13:13" x14ac:dyDescent="0.45">
      <c r="M51" s="44"/>
    </row>
    <row r="52" spans="13:13" x14ac:dyDescent="0.45">
      <c r="M52" s="44"/>
    </row>
    <row r="53" spans="13:13" x14ac:dyDescent="0.45">
      <c r="M53" s="44"/>
    </row>
    <row r="54" spans="13:13" x14ac:dyDescent="0.45">
      <c r="M54" s="44"/>
    </row>
    <row r="55" spans="13:13" x14ac:dyDescent="0.45">
      <c r="M55" s="44"/>
    </row>
    <row r="56" spans="13:13" x14ac:dyDescent="0.45">
      <c r="M56" s="44"/>
    </row>
    <row r="57" spans="13:13" x14ac:dyDescent="0.45">
      <c r="M57" s="44"/>
    </row>
    <row r="58" spans="13:13" x14ac:dyDescent="0.45">
      <c r="M58" s="44"/>
    </row>
    <row r="59" spans="13:13" x14ac:dyDescent="0.45">
      <c r="M59" s="44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DD39-14D2-4085-A634-B8912D716914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대문</vt:lpstr>
      <vt:lpstr>강화</vt:lpstr>
      <vt:lpstr>펫</vt:lpstr>
      <vt:lpstr>몹경험치</vt:lpstr>
      <vt:lpstr>방어구</vt:lpstr>
      <vt:lpstr>무기</vt:lpstr>
      <vt:lpstr>세트</vt:lpstr>
      <vt:lpstr>보석</vt:lpstr>
      <vt:lpstr>장신구</vt:lpstr>
      <vt:lpstr>광석</vt:lpstr>
      <vt:lpstr>이벤트</vt:lpstr>
      <vt:lpstr>불</vt:lpstr>
      <vt:lpstr>공기</vt:lpstr>
      <vt:lpstr>땅</vt:lpstr>
      <vt:lpstr>물</vt:lpstr>
      <vt:lpstr>힘</vt:lpstr>
      <vt:lpstr>기술서드랍</vt:lpstr>
      <vt:lpstr>하엘공방재료</vt:lpstr>
      <vt:lpstr>상인스킬습득조건</vt:lpstr>
      <vt:lpstr>소켓공식</vt:lpstr>
      <vt:lpstr>기본공식</vt:lpstr>
      <vt:lpstr>세공기술</vt:lpstr>
      <vt:lpstr>화공기술</vt:lpstr>
      <vt:lpstr>판금기술</vt:lpstr>
      <vt:lpstr>제본기술</vt:lpstr>
      <vt:lpstr>제련기술</vt:lpstr>
      <vt:lpstr>스텟계산기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현중 김</dc:creator>
  <cp:lastModifiedBy>Pink Angel</cp:lastModifiedBy>
  <dcterms:created xsi:type="dcterms:W3CDTF">2026-04-08T07:03:34Z</dcterms:created>
  <dcterms:modified xsi:type="dcterms:W3CDTF">2026-05-29T04:50:10Z</dcterms:modified>
</cp:coreProperties>
</file>